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viocapital-my.sharepoint.com/personal/vivian_oka_tivio_com/Documents/Área de Trabalho/Captação_Prev/"/>
    </mc:Choice>
  </mc:AlternateContent>
  <xr:revisionPtr revIDLastSave="2" documentId="11_CBFF3D039D524561F2406047A978D8C83DC65C7C" xr6:coauthVersionLast="47" xr6:coauthVersionMax="47" xr10:uidLastSave="{534DBDD3-C34F-479B-B50D-2A5098BFC831}"/>
  <bookViews>
    <workbookView xWindow="-30720" yWindow="6765" windowWidth="26850" windowHeight="17550" activeTab="4" xr2:uid="{00000000-000D-0000-FFFF-FFFF00000000}"/>
  </bookViews>
  <sheets>
    <sheet name="Resumo" sheetId="1" r:id="rId1"/>
    <sheet name="XP" sheetId="2" r:id="rId2"/>
    <sheet name="BTG" sheetId="3" r:id="rId3"/>
    <sheet name="Itaú" sheetId="4" r:id="rId4"/>
    <sheet name="Bradesc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5" l="1"/>
  <c r="M17" i="5"/>
  <c r="J17" i="5"/>
  <c r="G17" i="5"/>
  <c r="D17" i="5"/>
  <c r="N17" i="4"/>
  <c r="M17" i="4"/>
  <c r="J17" i="4"/>
  <c r="G17" i="4"/>
  <c r="D17" i="4"/>
  <c r="N17" i="3"/>
  <c r="M17" i="3"/>
  <c r="J17" i="3"/>
  <c r="G17" i="3"/>
  <c r="D17" i="3"/>
  <c r="N17" i="2"/>
  <c r="M17" i="2"/>
  <c r="J17" i="2"/>
  <c r="G17" i="2"/>
  <c r="D17" i="2"/>
</calcChain>
</file>

<file path=xl/sharedStrings.xml><?xml version="1.0" encoding="utf-8"?>
<sst xmlns="http://schemas.openxmlformats.org/spreadsheetml/2006/main" count="290" uniqueCount="122">
  <si>
    <t>RANKING CAPTAÇÃO &amp; RENTABILIDADE — PREVIDÊNCIA</t>
  </si>
  <si>
    <t>Mês fechado: 31/07/2026 a 31/08/2026   |   12m: 29/08/2025 a 31/08/2026   |   YTD: 31/12/2025 a 31/08/2026   |   CDI mês: 1.09%  |  CDI 12m: 14.63%  |  CDI YTD: 9.32%</t>
  </si>
  <si>
    <t>▶  DESTAQUES DO MÊS FECHADO</t>
  </si>
  <si>
    <t>🏆 Categoria líder: Multimercado captou R$ 2,581,338,632 (total do período negativo — ver captação bruta)</t>
  </si>
  <si>
    <t>📉 Rentabilidade média do mês: 0.96% (88% do CDI) | 607/1280 fundos bateram o CDI</t>
  </si>
  <si>
    <t>⚠️ Resgates totais: R$ 21,460,541,005 | Maior resgate: ITAÚ FLEXPREV HIGH YIELD II FIF CIC MULT (R$ 1,743,305,673) | Maior captação: ITAÚ FLEXPREV DUAL ADVANCED FIF DA CLASSE DE INVES — R$ 2,090,463,114</t>
  </si>
  <si>
    <t>🏦 Plataforma líder: BTG com R$ 263,227,001 (total do período negativo) | BTG: R$ 263M | Bradesco: R$ 37M | XP: R$ -497M | Itaú: R$ -1133M</t>
  </si>
  <si>
    <t>▶  TOP 1 POR PLATAFORMA</t>
  </si>
  <si>
    <t>Plataforma</t>
  </si>
  <si>
    <t>1º Capt. Mês</t>
  </si>
  <si>
    <t>Captação (R$)</t>
  </si>
  <si>
    <t>Rent. Mês</t>
  </si>
  <si>
    <t>% CDI Mês</t>
  </si>
  <si>
    <t>Rent. 12m</t>
  </si>
  <si>
    <t>% CDI 12m</t>
  </si>
  <si>
    <t>Prazo Cotiz.</t>
  </si>
  <si>
    <t>XP</t>
  </si>
  <si>
    <t>Mag Cash Xp Seg Prev Ficfirf Rl</t>
  </si>
  <si>
    <t>D+1</t>
  </si>
  <si>
    <t>BTG</t>
  </si>
  <si>
    <t>BTG CORP PLUS PREV FC FI MULT CRED P...</t>
  </si>
  <si>
    <t>Itaú</t>
  </si>
  <si>
    <t>ITAÚ FLEXPREV DUAL ADVANCED FIF DA C...</t>
  </si>
  <si>
    <t>—</t>
  </si>
  <si>
    <t>Bradesco</t>
  </si>
  <si>
    <t>Bradesco CP Premium RF CP</t>
  </si>
  <si>
    <t>🥇 Ouro  |  🥈 Prata  |  🥉 Bronze  →  Top 3  |  % CDI: verde ≥ 100%, vermelho &lt; 100%  |  Navegue pelas abas →</t>
  </si>
  <si>
    <t>TOP 10 — CAPTAÇÃO &amp; RENTABILIDADE  |  XP</t>
  </si>
  <si>
    <t>CDI mês: 1.09%  |  CDI 12m: 14.63%  |  CDI YTD: 9.32%  |  Ordenado por Captação Líquida do mês</t>
  </si>
  <si>
    <t>Mês  |  31/07/2026 a 31/08/2026</t>
  </si>
  <si>
    <t>12m  |  29/08/2025 a 31/08/2026</t>
  </si>
  <si>
    <t>YTD  |  31/12/2025 a 31/08/2026</t>
  </si>
  <si>
    <t>PL</t>
  </si>
  <si>
    <t>Resgates Mês</t>
  </si>
  <si>
    <t>Cotização</t>
  </si>
  <si>
    <t>#</t>
  </si>
  <si>
    <t>Fundo</t>
  </si>
  <si>
    <t>Capt.Líq.(R$)</t>
  </si>
  <si>
    <t>Rentab.</t>
  </si>
  <si>
    <t>% CDI</t>
  </si>
  <si>
    <t>PL (R$)</t>
  </si>
  <si>
    <t>Resgates(R$)</t>
  </si>
  <si>
    <t>D+</t>
  </si>
  <si>
    <t>Trend Pós-Fixado XP Seg Prev FIC FIRF</t>
  </si>
  <si>
    <t>JGP Crédito Prev Advisory XP Seg FIC RF CP</t>
  </si>
  <si>
    <t>XP Crédito Estruturado XP Seg Prev FIC FIRF</t>
  </si>
  <si>
    <t>Bradesco Ultra Xp Seg Prev Ficfirf</t>
  </si>
  <si>
    <t>Icatu Vanguarda Dinâmico Cdi Xp Seg Fim Crédito Rl</t>
  </si>
  <si>
    <t>Patria Previdenciário XP Seg FIC MM CP RL</t>
  </si>
  <si>
    <t>Bnp Paribas Match Plus Xp Seguros Ficfirf Cp</t>
  </si>
  <si>
    <t>Xp Liquidez 50 Firf Rl</t>
  </si>
  <si>
    <t>Atena Prev Xp Seg Fic Firf Cp</t>
  </si>
  <si>
    <t>∑</t>
  </si>
  <si>
    <t>TOTAL TOP 10</t>
  </si>
  <si>
    <t>▶  DETALHES DE CARTEIRA — TOP 3 (fonte: lâmina/comentário do gestor)</t>
  </si>
  <si>
    <t>🥇 Mag Cash Xp Seg Prev Ficfirf Rl</t>
  </si>
  <si>
    <t>Estratégia: Gestora: Trend Capital | Renda fixa pós-fixada | Renda Fixa Pós-Fixado — carteira atrelada ao CDI | Prazo cotiz.: Ver lâmina</t>
  </si>
  <si>
    <t xml:space="preserve">  • LFT (Tesouro Selic)</t>
  </si>
  <si>
    <t xml:space="preserve">  • CDB</t>
  </si>
  <si>
    <t xml:space="preserve">  • LCI/LCA</t>
  </si>
  <si>
    <t xml:space="preserve">  • Operações Compromissadas</t>
  </si>
  <si>
    <t>Fonte: Classificação por nome do fundo + base de gestoras</t>
  </si>
  <si>
    <t>🥈 Trend Pós-Fixado XP Seg Prev FIC FIRF</t>
  </si>
  <si>
    <t>Estratégia: Gestora: MAG Investimentos | Liquidez e renda fixa conservadora | Renda Fixa — combinação de títulos públicos e privados | Prazo cotiz.: Ver lâmina</t>
  </si>
  <si>
    <t xml:space="preserve">  • Títulos Públicos Federais</t>
  </si>
  <si>
    <t xml:space="preserve">  • Debentures</t>
  </si>
  <si>
    <t xml:space="preserve">  • LFT</t>
  </si>
  <si>
    <t>🥉 JGP Crédito Prev Advisory XP Seg FIC RF CP</t>
  </si>
  <si>
    <t>Estratégia: Renda Fixa DI/Selic — alocação em títulos pós-fixados atrelados ao CDI | Prazo cotiz.: Ver lâmina</t>
  </si>
  <si>
    <t>CDI mês: 1.09%  |  CDI 12m: 14.63%  |  CDI YTD: 9.32%  |  Prazo cotiz.: estimativa por perfil de fundo</t>
  </si>
  <si>
    <t>TOP 10 — CAPTAÇÃO &amp; RENTABILIDADE  |  BTG</t>
  </si>
  <si>
    <t>BTG CORP PLUS PREV FC FI MULT CRED PRIV</t>
  </si>
  <si>
    <t>BTG PACT TESOURO SELIC PREV FI RF REF DI</t>
  </si>
  <si>
    <t>BTG CDB PLUS PREV FI MULT CRED PRIV</t>
  </si>
  <si>
    <t>TYTON CREDITO PREVIDENCIA FIM</t>
  </si>
  <si>
    <t>ARTESANAL PREV FIM RESP LIMITADA</t>
  </si>
  <si>
    <t>D+10 d.u.</t>
  </si>
  <si>
    <t>ACS MAG PREV CASH FC FI RF</t>
  </si>
  <si>
    <t>BTG TOTAL PREV FC FI MULT</t>
  </si>
  <si>
    <t>M8 CAPITAL PREV FIC FIRF CRED PRIV RL</t>
  </si>
  <si>
    <t>ACS BRA ULTRA PREV</t>
  </si>
  <si>
    <t>POLI CHAR BP PREV RF</t>
  </si>
  <si>
    <t>🥇 BTG CORP PLUS PREV FC FI MULT CRED PRIV</t>
  </si>
  <si>
    <t>Estratégia: Gestora: BTG Pactual | Diversificada (RF, MM, RV) | Renda Fixa DI/Selic — alocação em títulos pós-fixados atrelados ao CDI | Prazo cotiz.: Ver lâmina</t>
  </si>
  <si>
    <t>🥈 BTG PACT TESOURO SELIC PREV FI RF REF DI</t>
  </si>
  <si>
    <t>Estratégia: Gestora: BTG Pactual | Diversificada (RF, MM, RV) | Renda Fixa Crédito Privado — exposição a debêntures, CRIs e FIDCs | Prazo cotiz.: Ver lâmina</t>
  </si>
  <si>
    <t xml:space="preserve">  • Debêntures</t>
  </si>
  <si>
    <t xml:space="preserve">  • CRI/CRA</t>
  </si>
  <si>
    <t xml:space="preserve">  • FIDC</t>
  </si>
  <si>
    <t>🥉 BTG CDB PLUS PREV FI MULT CRED PRIV</t>
  </si>
  <si>
    <t>Estratégia: Fundo de previdência diversificado | Prazo cotiz.: Ver lâmina</t>
  </si>
  <si>
    <t xml:space="preserve">  • Renda Fixa</t>
  </si>
  <si>
    <t xml:space="preserve">  • Multimercado</t>
  </si>
  <si>
    <t>TOP 10 — CAPTAÇÃO &amp; RENTABILIDADE  |  Itaú</t>
  </si>
  <si>
    <t>ITAÚ FLEXPREV DUAL ADVANCED FIF DA CLASSE DE INVESTIMENTO EM COTAS MULT CRÉD PRIV RESP LIMITADA</t>
  </si>
  <si>
    <t>ITAÚ FLEXPREV DUAL ADVANCED FUNDO DE INVESTIMENTO FINANCEIRO MULTIMERCADO CRED PRIV RESP LIMITADA</t>
  </si>
  <si>
    <t>ITAÚ FLEXPREV MASTER GD MULTIMERCADO FUNDO DE INVESTIMENTO FINANCEIRO RESP LIMITADA</t>
  </si>
  <si>
    <t>ITAÚ FLEXPREV PRIVILÈGE FUNDO DE INVESTIMENTO FINANCEIRO RENDA FIXA REFERENCIADO DI - RESP LIMITADA</t>
  </si>
  <si>
    <t>ITAÚ FLEXPREV PRIVILÈGE FIF CIC RF REFERENCIADO DI - RESP LIMITADA</t>
  </si>
  <si>
    <t>ITAÚ FLEXPREV GLOBAL DINÂMICO BAIXA VOL MULTIMERCADO FIF DA CIC RESPONSABILIDADE LIMITADA</t>
  </si>
  <si>
    <t>CAPITÂNIA PREVIDENCE ITAÚ FIE I FIF DA CIC RENDA FIXA CRÉDITO PRIVADO RESPONSABILIDADE LIMITADA</t>
  </si>
  <si>
    <t>CAPITÂNIA PREVIDENCE ITAÚ FIFE FIF RENDA FIXA CRÉDITO PRIVADO RESPONSABILIDADE LIMITADA</t>
  </si>
  <si>
    <t>ITAÚ FLEXPREV CRÉDITO BANCÁRIO FIF CIC RENDA FIXA CRÉDITO PRIVADO RESP LIMITADA</t>
  </si>
  <si>
    <t>ITAÚ FLEXPREV GD CENTRALIZADOR MULTIMERCADO FIF DA CLASSE DE INVESTIMENTO EM COTAS RESP LIMITADA</t>
  </si>
  <si>
    <t>🥇 ITAÚ FLEXPREV DUAL ADVANCED FIF DA CLASSE DE INVESTIMENTO EM COTAS MULT CRÉD PRIV RESP LIMITADA</t>
  </si>
  <si>
    <t>🥈 ITAÚ FLEXPREV DUAL ADVANCED FUNDO DE INVESTIMENTO FINANCEIRO MULTIMERCADO CRED PRIV RESP LIMITADA</t>
  </si>
  <si>
    <t>🥉 ITAÚ FLEXPREV MASTER GD MULTIMERCADO FUNDO DE INVESTIMENTO FINANCEIRO RESP LIMITADA</t>
  </si>
  <si>
    <t>TOP 10 — CAPTAÇÃO &amp; RENTABILIDADE  |  Bradesco</t>
  </si>
  <si>
    <t>Bradesco Private 001 RF</t>
  </si>
  <si>
    <t>Bradesco Tivio HYD60 CP</t>
  </si>
  <si>
    <t>Bradesco 206 DI FIF</t>
  </si>
  <si>
    <t>Bradesco SulAmérica RF CP</t>
  </si>
  <si>
    <t>Bradesco Vitia RF CP</t>
  </si>
  <si>
    <t>Bradesco RF-A RF</t>
  </si>
  <si>
    <t>Bradesco Prev UltraConservador III RF CP</t>
  </si>
  <si>
    <t xml:space="preserve">Bradesco Dahlia Total Return PGBL/VGBL FI em Cotas de FIF </t>
  </si>
  <si>
    <t>Bradesco Prev Ultra Conservador I MM CP</t>
  </si>
  <si>
    <t>🥇 Bradesco CP Premium RF CP</t>
  </si>
  <si>
    <t>Estratégia: Gestora: Bradesco Asset | Diversificada | Renda Fixa Crédito Privado — exposição a debêntures, CRIs e FIDCs | Prazo cotiz.: Ver lâmina</t>
  </si>
  <si>
    <t>🥈 Bradesco Private 001 RF</t>
  </si>
  <si>
    <t>Estratégia: Gestora: Bradesco Asset | Diversificada | Renda Fixa — combinação de títulos públicos e privados | Prazo cotiz.: Ver lâmina</t>
  </si>
  <si>
    <t>🥉 Bradesco Tivio HYD60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</si>
</sst>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29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1A1A1A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10"/>
      <color rgb="FFE94560"/>
      <name val="Arial"/>
    </font>
    <font>
      <sz val="10"/>
      <color rgb="FF1A7A1A"/>
      <name val="Arial"/>
    </font>
    <font>
      <b/>
      <sz val="10"/>
      <color rgb="FF2196F3"/>
      <name val="Arial"/>
    </font>
    <font>
      <b/>
      <sz val="10"/>
      <color rgb="FFFF6600"/>
      <name val="Arial"/>
    </font>
    <font>
      <b/>
      <sz val="10"/>
      <color rgb="FFCC0000"/>
      <name val="Arial"/>
    </font>
    <font>
      <sz val="10"/>
      <color rgb="FFCC0000"/>
      <name val="Arial"/>
    </font>
    <font>
      <i/>
      <sz val="9"/>
      <color rgb="FF555555"/>
      <name val="Arial"/>
    </font>
    <font>
      <b/>
      <sz val="15"/>
      <color rgb="FFFFFFFF"/>
      <name val="Arial"/>
    </font>
    <font>
      <i/>
      <sz val="9"/>
      <color rgb="FF888888"/>
      <name val="Arial"/>
    </font>
    <font>
      <b/>
      <sz val="10"/>
      <color rgb="FF1A1A1A"/>
      <name val="Arial"/>
    </font>
    <font>
      <b/>
      <sz val="9"/>
      <color rgb="FF1A1A1A"/>
      <name val="Arial"/>
    </font>
    <font>
      <b/>
      <sz val="9"/>
      <color rgb="FFE94560"/>
      <name val="Arial"/>
    </font>
    <font>
      <b/>
      <sz val="9"/>
      <color rgb="FF1A7A1A"/>
      <name val="Arial"/>
    </font>
    <font>
      <sz val="9"/>
      <color rgb="FF1A7A1A"/>
      <name val="Arial"/>
    </font>
    <font>
      <sz val="9"/>
      <color rgb="FFCC0000"/>
      <name val="Arial"/>
    </font>
    <font>
      <b/>
      <sz val="9"/>
      <color rgb="FFCC00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i/>
      <sz val="9"/>
      <color rgb="FF444444"/>
      <name val="Arial"/>
    </font>
    <font>
      <i/>
      <sz val="8"/>
      <color rgb="FFAAAAAA"/>
      <name val="Arial"/>
    </font>
    <font>
      <b/>
      <sz val="9"/>
      <color rgb="FF2196F3"/>
      <name val="Arial"/>
    </font>
    <font>
      <b/>
      <sz val="9"/>
      <color rgb="FFFF6600"/>
      <name val="Arial"/>
    </font>
  </fonts>
  <fills count="2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5"/>
      </patternFill>
    </fill>
    <fill>
      <patternFill patternType="solid">
        <fgColor rgb="FF2D2D2D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444444"/>
      </patternFill>
    </fill>
    <fill>
      <patternFill patternType="solid">
        <fgColor rgb="FFE94560"/>
      </patternFill>
    </fill>
    <fill>
      <patternFill patternType="solid">
        <fgColor rgb="FF2196F3"/>
      </patternFill>
    </fill>
    <fill>
      <patternFill patternType="solid">
        <fgColor rgb="FFFF6600"/>
      </patternFill>
    </fill>
    <fill>
      <patternFill patternType="solid">
        <fgColor rgb="FFCC0000"/>
      </patternFill>
    </fill>
    <fill>
      <patternFill patternType="solid">
        <fgColor rgb="FFF8F8F8"/>
      </patternFill>
    </fill>
    <fill>
      <patternFill patternType="solid">
        <fgColor rgb="FF333333"/>
      </patternFill>
    </fill>
    <fill>
      <patternFill patternType="solid">
        <fgColor rgb="FFF4C430"/>
      </patternFill>
    </fill>
    <fill>
      <patternFill patternType="solid">
        <fgColor rgb="FFF8D7DA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FFFFFF"/>
      </patternFill>
    </fill>
    <fill>
      <patternFill patternType="solid">
        <fgColor rgb="FF003049"/>
      </patternFill>
    </fill>
    <fill>
      <patternFill patternType="solid">
        <fgColor rgb="FFDBEAFE"/>
      </patternFill>
    </fill>
    <fill>
      <patternFill patternType="solid">
        <fgColor rgb="FFFFF0E6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indent="1"/>
    </xf>
    <xf numFmtId="164" fontId="7" fillId="5" borderId="1" xfId="0" applyNumberFormat="1" applyFont="1" applyFill="1" applyBorder="1" applyAlignment="1">
      <alignment horizontal="right" vertical="center"/>
    </xf>
    <xf numFmtId="10" fontId="8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164" fontId="9" fillId="6" borderId="1" xfId="0" applyNumberFormat="1" applyFont="1" applyFill="1" applyBorder="1" applyAlignment="1">
      <alignment horizontal="right" vertical="center"/>
    </xf>
    <xf numFmtId="10" fontId="8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right" vertical="center"/>
    </xf>
    <xf numFmtId="10" fontId="12" fillId="6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 indent="1"/>
    </xf>
    <xf numFmtId="164" fontId="18" fillId="15" borderId="1" xfId="0" applyNumberFormat="1" applyFont="1" applyFill="1" applyBorder="1" applyAlignment="1">
      <alignment horizontal="right" vertical="center"/>
    </xf>
    <xf numFmtId="10" fontId="19" fillId="15" borderId="1" xfId="0" applyNumberFormat="1" applyFont="1" applyFill="1" applyBorder="1" applyAlignment="1">
      <alignment horizontal="center" vertical="center"/>
    </xf>
    <xf numFmtId="164" fontId="6" fillId="15" borderId="1" xfId="0" applyNumberFormat="1" applyFont="1" applyFill="1" applyBorder="1" applyAlignment="1">
      <alignment horizontal="right" vertical="center"/>
    </xf>
    <xf numFmtId="10" fontId="20" fillId="15" borderId="1" xfId="0" applyNumberFormat="1" applyFont="1" applyFill="1" applyBorder="1" applyAlignment="1">
      <alignment horizontal="center" vertical="center"/>
    </xf>
    <xf numFmtId="164" fontId="21" fillId="15" borderId="1" xfId="0" applyNumberFormat="1" applyFont="1" applyFill="1" applyBorder="1" applyAlignment="1">
      <alignment horizontal="right" vertical="center"/>
    </xf>
    <xf numFmtId="0" fontId="6" fillId="15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0" fontId="22" fillId="15" borderId="1" xfId="0" applyNumberFormat="1" applyFont="1" applyFill="1" applyBorder="1" applyAlignment="1">
      <alignment horizontal="center" vertical="center"/>
    </xf>
    <xf numFmtId="10" fontId="21" fillId="15" borderId="1" xfId="0" applyNumberFormat="1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right" vertical="center"/>
    </xf>
    <xf numFmtId="10" fontId="20" fillId="6" borderId="1" xfId="0" applyNumberFormat="1" applyFont="1" applyFill="1" applyBorder="1" applyAlignment="1">
      <alignment horizontal="center" vertical="center"/>
    </xf>
    <xf numFmtId="10" fontId="21" fillId="6" borderId="1" xfId="0" applyNumberFormat="1" applyFont="1" applyFill="1" applyBorder="1" applyAlignment="1">
      <alignment horizontal="center" vertical="center"/>
    </xf>
    <xf numFmtId="164" fontId="21" fillId="6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0" fontId="20" fillId="5" borderId="1" xfId="0" applyNumberFormat="1" applyFont="1" applyFill="1" applyBorder="1" applyAlignment="1">
      <alignment horizontal="center" vertical="center"/>
    </xf>
    <xf numFmtId="10" fontId="21" fillId="5" borderId="1" xfId="0" applyNumberFormat="1" applyFont="1" applyFill="1" applyBorder="1" applyAlignment="1">
      <alignment horizontal="center" vertical="center"/>
    </xf>
    <xf numFmtId="164" fontId="21" fillId="5" borderId="1" xfId="0" applyNumberFormat="1" applyFont="1" applyFill="1" applyBorder="1" applyAlignment="1">
      <alignment horizontal="right" vertic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0" fillId="19" borderId="1" xfId="0" applyFill="1" applyBorder="1"/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 indent="1"/>
    </xf>
    <xf numFmtId="0" fontId="17" fillId="20" borderId="1" xfId="0" applyFont="1" applyFill="1" applyBorder="1" applyAlignment="1">
      <alignment horizontal="left" vertical="center" indent="1"/>
    </xf>
    <xf numFmtId="164" fontId="27" fillId="20" borderId="1" xfId="0" applyNumberFormat="1" applyFont="1" applyFill="1" applyBorder="1" applyAlignment="1">
      <alignment horizontal="right" vertical="center"/>
    </xf>
    <xf numFmtId="10" fontId="19" fillId="20" borderId="1" xfId="0" applyNumberFormat="1" applyFont="1" applyFill="1" applyBorder="1" applyAlignment="1">
      <alignment horizontal="center" vertical="center"/>
    </xf>
    <xf numFmtId="164" fontId="6" fillId="20" borderId="1" xfId="0" applyNumberFormat="1" applyFont="1" applyFill="1" applyBorder="1" applyAlignment="1">
      <alignment horizontal="right" vertical="center"/>
    </xf>
    <xf numFmtId="10" fontId="20" fillId="20" borderId="1" xfId="0" applyNumberFormat="1" applyFont="1" applyFill="1" applyBorder="1" applyAlignment="1">
      <alignment horizontal="center" vertical="center"/>
    </xf>
    <xf numFmtId="164" fontId="21" fillId="20" borderId="1" xfId="0" applyNumberFormat="1" applyFont="1" applyFill="1" applyBorder="1" applyAlignment="1">
      <alignment horizontal="right" vertical="center"/>
    </xf>
    <xf numFmtId="0" fontId="6" fillId="20" borderId="1" xfId="0" applyFont="1" applyFill="1" applyBorder="1" applyAlignment="1">
      <alignment horizontal="center" vertical="center"/>
    </xf>
    <xf numFmtId="10" fontId="22" fillId="20" borderId="1" xfId="0" applyNumberFormat="1" applyFont="1" applyFill="1" applyBorder="1" applyAlignment="1">
      <alignment horizontal="center" vertical="center"/>
    </xf>
    <xf numFmtId="10" fontId="21" fillId="20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0" fontId="0" fillId="10" borderId="1" xfId="0" applyFill="1" applyBorder="1"/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indent="1"/>
    </xf>
    <xf numFmtId="0" fontId="17" fillId="21" borderId="1" xfId="0" applyFont="1" applyFill="1" applyBorder="1" applyAlignment="1">
      <alignment horizontal="left" vertical="center" indent="1"/>
    </xf>
    <xf numFmtId="164" fontId="28" fillId="21" borderId="1" xfId="0" applyNumberFormat="1" applyFont="1" applyFill="1" applyBorder="1" applyAlignment="1">
      <alignment horizontal="right" vertical="center"/>
    </xf>
    <xf numFmtId="10" fontId="19" fillId="21" borderId="1" xfId="0" applyNumberFormat="1" applyFont="1" applyFill="1" applyBorder="1" applyAlignment="1">
      <alignment horizontal="center" vertical="center"/>
    </xf>
    <xf numFmtId="164" fontId="6" fillId="21" borderId="1" xfId="0" applyNumberFormat="1" applyFont="1" applyFill="1" applyBorder="1" applyAlignment="1">
      <alignment horizontal="right" vertical="center"/>
    </xf>
    <xf numFmtId="10" fontId="20" fillId="21" borderId="1" xfId="0" applyNumberFormat="1" applyFont="1" applyFill="1" applyBorder="1" applyAlignment="1">
      <alignment horizontal="center" vertical="center"/>
    </xf>
    <xf numFmtId="164" fontId="21" fillId="21" borderId="1" xfId="0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>
      <alignment horizontal="center" vertical="center"/>
    </xf>
    <xf numFmtId="10" fontId="21" fillId="21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indent="1"/>
    </xf>
    <xf numFmtId="0" fontId="17" fillId="22" borderId="1" xfId="0" applyFont="1" applyFill="1" applyBorder="1" applyAlignment="1">
      <alignment horizontal="left" vertical="center" indent="1"/>
    </xf>
    <xf numFmtId="164" fontId="22" fillId="22" borderId="1" xfId="0" applyNumberFormat="1" applyFont="1" applyFill="1" applyBorder="1" applyAlignment="1">
      <alignment horizontal="right" vertical="center"/>
    </xf>
    <xf numFmtId="10" fontId="19" fillId="22" borderId="1" xfId="0" applyNumberFormat="1" applyFont="1" applyFill="1" applyBorder="1" applyAlignment="1">
      <alignment horizontal="center" vertical="center"/>
    </xf>
    <xf numFmtId="10" fontId="22" fillId="22" borderId="1" xfId="0" applyNumberFormat="1" applyFont="1" applyFill="1" applyBorder="1" applyAlignment="1">
      <alignment horizontal="center" vertical="center"/>
    </xf>
    <xf numFmtId="164" fontId="6" fillId="22" borderId="1" xfId="0" applyNumberFormat="1" applyFont="1" applyFill="1" applyBorder="1" applyAlignment="1">
      <alignment horizontal="right" vertical="center"/>
    </xf>
    <xf numFmtId="10" fontId="20" fillId="22" borderId="1" xfId="0" applyNumberFormat="1" applyFont="1" applyFill="1" applyBorder="1" applyAlignment="1">
      <alignment horizontal="center" vertical="center"/>
    </xf>
    <xf numFmtId="10" fontId="21" fillId="22" borderId="1" xfId="0" applyNumberFormat="1" applyFont="1" applyFill="1" applyBorder="1" applyAlignment="1">
      <alignment horizontal="center" vertical="center"/>
    </xf>
    <xf numFmtId="164" fontId="21" fillId="22" borderId="1" xfId="0" applyNumberFormat="1" applyFont="1" applyFill="1" applyBorder="1" applyAlignment="1">
      <alignment horizontal="right" vertical="center"/>
    </xf>
    <xf numFmtId="0" fontId="6" fillId="22" borderId="1" xfId="0" applyFont="1" applyFill="1" applyBorder="1" applyAlignment="1">
      <alignment horizontal="center" vertical="center"/>
    </xf>
    <xf numFmtId="10" fontId="6" fillId="22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 indent="2"/>
    </xf>
    <xf numFmtId="0" fontId="0" fillId="0" borderId="0" xfId="0"/>
    <xf numFmtId="0" fontId="1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wrapText="1" indent="2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indent="2"/>
    </xf>
    <xf numFmtId="0" fontId="6" fillId="6" borderId="1" xfId="0" applyFont="1" applyFill="1" applyBorder="1" applyAlignment="1">
      <alignment horizontal="left" vertical="center" indent="3"/>
    </xf>
    <xf numFmtId="0" fontId="15" fillId="12" borderId="0" xfId="0" applyFont="1" applyFill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 indent="2"/>
    </xf>
    <xf numFmtId="0" fontId="26" fillId="0" borderId="0" xfId="0" applyFont="1"/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4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16" fillId="15" borderId="1" xfId="0" applyFont="1" applyFill="1" applyBorder="1" applyAlignment="1">
      <alignment horizontal="left" vertical="center" indent="1"/>
    </xf>
    <xf numFmtId="0" fontId="16" fillId="20" borderId="1" xfId="0" applyFont="1" applyFill="1" applyBorder="1" applyAlignment="1">
      <alignment horizontal="left" vertical="center" indent="1"/>
    </xf>
    <xf numFmtId="0" fontId="14" fillId="19" borderId="0" xfId="0" applyFont="1" applyFill="1" applyAlignment="1">
      <alignment horizontal="center" vertical="center"/>
    </xf>
    <xf numFmtId="0" fontId="3" fillId="19" borderId="1" xfId="0" applyFont="1" applyFill="1" applyBorder="1" applyAlignment="1">
      <alignment horizontal="left" vertical="center" indent="1"/>
    </xf>
    <xf numFmtId="0" fontId="16" fillId="21" borderId="1" xfId="0" applyFont="1" applyFill="1" applyBorder="1" applyAlignment="1">
      <alignment horizontal="left" vertical="center" indent="1"/>
    </xf>
    <xf numFmtId="0" fontId="14" fillId="10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14" fillId="11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  <xf numFmtId="0" fontId="16" fillId="2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Top 10 Captação Líquida do Mês — XP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XP!$D$6</c:f>
              <c:strCache>
                <c:ptCount val="1"/>
                <c:pt idx="0">
                  <c:v>Capt.Líq.(R$)</c:v>
                </c:pt>
              </c:strCache>
            </c:strRef>
          </c:tx>
          <c:spPr>
            <a:solidFill>
              <a:srgbClr val="E94560"/>
            </a:solidFill>
            <a:ln>
              <a:prstDash val="solid"/>
            </a:ln>
          </c:spPr>
          <c:invertIfNegative val="1"/>
          <c:cat>
            <c:strRef>
              <c:f>XP!$C$7:$C$16</c:f>
              <c:strCache>
                <c:ptCount val="10"/>
                <c:pt idx="0">
                  <c:v>Mag Cash Xp Seg Prev Ficfirf Rl</c:v>
                </c:pt>
                <c:pt idx="1">
                  <c:v>Trend Pós-Fixado XP Seg Prev FIC FIRF</c:v>
                </c:pt>
                <c:pt idx="2">
                  <c:v>JGP Crédito Prev Advisory XP Seg FIC RF CP</c:v>
                </c:pt>
                <c:pt idx="3">
                  <c:v>XP Crédito Estruturado XP Seg Prev FIC FIRF</c:v>
                </c:pt>
                <c:pt idx="4">
                  <c:v>Bradesco Ultra Xp Seg Prev Ficfirf</c:v>
                </c:pt>
                <c:pt idx="5">
                  <c:v>Icatu Vanguarda Dinâmico Cdi Xp Seg Fim Crédito Rl</c:v>
                </c:pt>
                <c:pt idx="6">
                  <c:v>Patria Previdenciário XP Seg FIC MM CP RL</c:v>
                </c:pt>
                <c:pt idx="7">
                  <c:v>Bnp Paribas Match Plus Xp Seguros Ficfirf Cp</c:v>
                </c:pt>
                <c:pt idx="8">
                  <c:v>Xp Liquidez 50 Firf Rl</c:v>
                </c:pt>
                <c:pt idx="9">
                  <c:v>Atena Prev Xp Seg Fic Firf Cp</c:v>
                </c:pt>
              </c:strCache>
            </c:strRef>
          </c:cat>
          <c:val>
            <c:numRef>
              <c:f>XP!$D$7:$D$16</c:f>
              <c:numCache>
                <c:formatCode>\R\$\ #,##0</c:formatCode>
                <c:ptCount val="10"/>
                <c:pt idx="0">
                  <c:v>163771025.24000001</c:v>
                </c:pt>
                <c:pt idx="1">
                  <c:v>145954693.66</c:v>
                </c:pt>
                <c:pt idx="2">
                  <c:v>110921713.05</c:v>
                </c:pt>
                <c:pt idx="3">
                  <c:v>48921525.890000001</c:v>
                </c:pt>
                <c:pt idx="4">
                  <c:v>46859486.520000003</c:v>
                </c:pt>
                <c:pt idx="5">
                  <c:v>46550098.170000002</c:v>
                </c:pt>
                <c:pt idx="6">
                  <c:v>41598211</c:v>
                </c:pt>
                <c:pt idx="7">
                  <c:v>38557335.619999997</c:v>
                </c:pt>
                <c:pt idx="8">
                  <c:v>35640130.640000001</c:v>
                </c:pt>
                <c:pt idx="9">
                  <c:v>34231190.969999999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2F-44E1-A08D-DF8A60FC2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Top 10 Captação Líquida do Mês — BTG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BTG!$D$6</c:f>
              <c:strCache>
                <c:ptCount val="1"/>
                <c:pt idx="0">
                  <c:v>Capt.Líq.(R$)</c:v>
                </c:pt>
              </c:strCache>
            </c:strRef>
          </c:tx>
          <c:spPr>
            <a:solidFill>
              <a:srgbClr val="2196F3"/>
            </a:solidFill>
            <a:ln>
              <a:prstDash val="solid"/>
            </a:ln>
          </c:spPr>
          <c:invertIfNegative val="1"/>
          <c:cat>
            <c:strRef>
              <c:f>BTG!$C$7:$C$16</c:f>
              <c:strCache>
                <c:ptCount val="10"/>
                <c:pt idx="0">
                  <c:v>BTG CORP PLUS PREV FC FI MULT CRED PRIV</c:v>
                </c:pt>
                <c:pt idx="1">
                  <c:v>BTG PACT TESOURO SELIC PREV FI RF REF DI</c:v>
                </c:pt>
                <c:pt idx="2">
                  <c:v>BTG CDB PLUS PREV FI MULT CRED PRIV</c:v>
                </c:pt>
                <c:pt idx="3">
                  <c:v>TYTON CREDITO PREVIDENCIA FIM</c:v>
                </c:pt>
                <c:pt idx="4">
                  <c:v>ARTESANAL PREV FIM RESP LIMITADA</c:v>
                </c:pt>
                <c:pt idx="5">
                  <c:v>ACS MAG PREV CASH FC FI RF</c:v>
                </c:pt>
                <c:pt idx="6">
                  <c:v>BTG TOTAL PREV FC FI MULT</c:v>
                </c:pt>
                <c:pt idx="7">
                  <c:v>M8 CAPITAL PREV FIC FIRF CRED PRIV RL</c:v>
                </c:pt>
                <c:pt idx="8">
                  <c:v>ACS BRA ULTRA PREV</c:v>
                </c:pt>
                <c:pt idx="9">
                  <c:v>POLI CHAR BP PREV RF</c:v>
                </c:pt>
              </c:strCache>
            </c:strRef>
          </c:cat>
          <c:val>
            <c:numRef>
              <c:f>BTG!$D$7:$D$16</c:f>
              <c:numCache>
                <c:formatCode>\R\$\ #,##0</c:formatCode>
                <c:ptCount val="10"/>
                <c:pt idx="0">
                  <c:v>241175323.52000001</c:v>
                </c:pt>
                <c:pt idx="1">
                  <c:v>166490475.59</c:v>
                </c:pt>
                <c:pt idx="2">
                  <c:v>99393214.890000001</c:v>
                </c:pt>
                <c:pt idx="3">
                  <c:v>96757054.489999995</c:v>
                </c:pt>
                <c:pt idx="4">
                  <c:v>86576569.230000004</c:v>
                </c:pt>
                <c:pt idx="5">
                  <c:v>43725378.140000001</c:v>
                </c:pt>
                <c:pt idx="6">
                  <c:v>32340166.649999999</c:v>
                </c:pt>
                <c:pt idx="7">
                  <c:v>32126631.25</c:v>
                </c:pt>
                <c:pt idx="8">
                  <c:v>30646926.82</c:v>
                </c:pt>
                <c:pt idx="9">
                  <c:v>28149334.23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79-444D-8ED4-54D2380D2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Top 10 Captação Líquida do Mês — Itaú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Itaú!$D$6</c:f>
              <c:strCache>
                <c:ptCount val="1"/>
                <c:pt idx="0">
                  <c:v>Capt.Líq.(R$)</c:v>
                </c:pt>
              </c:strCache>
            </c:strRef>
          </c:tx>
          <c:spPr>
            <a:solidFill>
              <a:srgbClr val="FF6600"/>
            </a:solidFill>
            <a:ln>
              <a:prstDash val="solid"/>
            </a:ln>
          </c:spPr>
          <c:invertIfNegative val="1"/>
          <c:cat>
            <c:strRef>
              <c:f>Itaú!$C$7:$C$16</c:f>
              <c:strCache>
                <c:ptCount val="10"/>
                <c:pt idx="0">
                  <c:v>ITAÚ FLEXPREV DUAL ADVANCED FIF DA CLASSE DE INVESTIMENTO EM COTAS MULT CRÉD PRIV RESP LIMITADA</c:v>
                </c:pt>
                <c:pt idx="1">
                  <c:v>ITAÚ FLEXPREV DUAL ADVANCED FUNDO DE INVESTIMENTO FINANCEIRO MULTIMERCADO CRED PRIV RESP LIMITADA</c:v>
                </c:pt>
                <c:pt idx="2">
                  <c:v>ITAÚ FLEXPREV MASTER GD MULTIMERCADO FUNDO DE INVESTIMENTO FINANCEIRO RESP LIMITADA</c:v>
                </c:pt>
                <c:pt idx="3">
                  <c:v>ITAÚ FLEXPREV PRIVILÈGE FUNDO DE INVESTIMENTO FINANCEIRO RENDA FIXA REFERENCIADO DI - RESP LIMITADA</c:v>
                </c:pt>
                <c:pt idx="4">
                  <c:v>ITAÚ FLEXPREV PRIVILÈGE FIF CIC RF REFERENCIADO DI - RESP LIMITADA</c:v>
                </c:pt>
                <c:pt idx="5">
                  <c:v>ITAÚ FLEXPREV GLOBAL DINÂMICO BAIXA VOL MULTIMERCADO FIF DA CIC RESPONSABILIDADE LIMITADA</c:v>
                </c:pt>
                <c:pt idx="6">
                  <c:v>CAPITÂNIA PREVIDENCE ITAÚ FIE I FIF DA CIC RENDA FIXA CRÉDITO PRIVADO RESPONSABILIDADE LIMITADA</c:v>
                </c:pt>
                <c:pt idx="7">
                  <c:v>CAPITÂNIA PREVIDENCE ITAÚ FIFE FIF RENDA FIXA CRÉDITO PRIVADO RESPONSABILIDADE LIMITADA</c:v>
                </c:pt>
                <c:pt idx="8">
                  <c:v>ITAÚ FLEXPREV CRÉDITO BANCÁRIO FIF CIC RENDA FIXA CRÉDITO PRIVADO RESP LIMITADA</c:v>
                </c:pt>
                <c:pt idx="9">
                  <c:v>ITAÚ FLEXPREV GD CENTRALIZADOR MULTIMERCADO FIF DA CLASSE DE INVESTIMENTO EM COTAS RESP LIMITADA</c:v>
                </c:pt>
              </c:strCache>
            </c:strRef>
          </c:cat>
          <c:val>
            <c:numRef>
              <c:f>Itaú!$D$7:$D$16</c:f>
              <c:numCache>
                <c:formatCode>\R\$\ #,##0</c:formatCode>
                <c:ptCount val="10"/>
                <c:pt idx="0">
                  <c:v>2090463113.6199999</c:v>
                </c:pt>
                <c:pt idx="1">
                  <c:v>2086454330.23</c:v>
                </c:pt>
                <c:pt idx="2">
                  <c:v>545782133.42999995</c:v>
                </c:pt>
                <c:pt idx="3">
                  <c:v>482143590.51000011</c:v>
                </c:pt>
                <c:pt idx="4">
                  <c:v>482143590.51000011</c:v>
                </c:pt>
                <c:pt idx="5">
                  <c:v>396477894.36000001</c:v>
                </c:pt>
                <c:pt idx="6">
                  <c:v>231163229.11000001</c:v>
                </c:pt>
                <c:pt idx="7">
                  <c:v>230637960.36000001</c:v>
                </c:pt>
                <c:pt idx="8">
                  <c:v>203052979.44999999</c:v>
                </c:pt>
                <c:pt idx="9">
                  <c:v>171600191.59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DCB-41C9-B10F-7516A8878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Top 10 Captação Líquida do Mês — Bradesco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Bradesco!$D$6</c:f>
              <c:strCache>
                <c:ptCount val="1"/>
                <c:pt idx="0">
                  <c:v>Capt.Líq.(R$)</c:v>
                </c:pt>
              </c:strCache>
            </c:strRef>
          </c:tx>
          <c:spPr>
            <a:solidFill>
              <a:srgbClr val="CC0000"/>
            </a:solidFill>
            <a:ln>
              <a:prstDash val="solid"/>
            </a:ln>
          </c:spPr>
          <c:invertIfNegative val="1"/>
          <c:cat>
            <c:strRef>
              <c:f>Bradesco!$C$7:$C$16</c:f>
              <c:strCache>
                <c:ptCount val="10"/>
                <c:pt idx="0">
                  <c:v>Bradesco CP Premium RF CP</c:v>
                </c:pt>
                <c:pt idx="1">
                  <c:v>Bradesco Private 001 RF</c:v>
                </c:pt>
                <c:pt idx="2">
                  <c:v>Bradesco Tivio HYD60 CP</c:v>
                </c:pt>
                <c:pt idx="3">
                  <c:v>Bradesco 206 DI FIF</c:v>
                </c:pt>
                <c:pt idx="4">
                  <c:v>Bradesco SulAmérica RF CP</c:v>
                </c:pt>
                <c:pt idx="5">
                  <c:v>Bradesco Vitia RF CP</c:v>
                </c:pt>
                <c:pt idx="6">
                  <c:v>Bradesco RF-A RF</c:v>
                </c:pt>
                <c:pt idx="7">
                  <c:v>Bradesco Prev UltraConservador III RF CP</c:v>
                </c:pt>
                <c:pt idx="8">
                  <c:v>Bradesco Dahlia Total Return PGBL/VGBL FI em Cotas de FIF </c:v>
                </c:pt>
                <c:pt idx="9">
                  <c:v>Bradesco Prev Ultra Conservador I MM CP</c:v>
                </c:pt>
              </c:strCache>
            </c:strRef>
          </c:cat>
          <c:val>
            <c:numRef>
              <c:f>Bradesco!$D$7:$D$16</c:f>
              <c:numCache>
                <c:formatCode>\R\$\ #,##0</c:formatCode>
                <c:ptCount val="10"/>
                <c:pt idx="0">
                  <c:v>490832296.50999999</c:v>
                </c:pt>
                <c:pt idx="1">
                  <c:v>129418026.91</c:v>
                </c:pt>
                <c:pt idx="2">
                  <c:v>95706164.840000004</c:v>
                </c:pt>
                <c:pt idx="3">
                  <c:v>88736733.150000006</c:v>
                </c:pt>
                <c:pt idx="4">
                  <c:v>53009158.329999998</c:v>
                </c:pt>
                <c:pt idx="5">
                  <c:v>52320683.439999998</c:v>
                </c:pt>
                <c:pt idx="6">
                  <c:v>35089709.049999997</c:v>
                </c:pt>
                <c:pt idx="7">
                  <c:v>12447594.99</c:v>
                </c:pt>
                <c:pt idx="8">
                  <c:v>4334617.21</c:v>
                </c:pt>
                <c:pt idx="9">
                  <c:v>489374.64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0E-4494-B0DC-48422E1CE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44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42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42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showGridLines="0" workbookViewId="0">
      <selection activeCell="C23" sqref="C23"/>
    </sheetView>
  </sheetViews>
  <sheetFormatPr defaultRowHeight="14.75"/>
  <cols>
    <col min="1" max="1" width="3" customWidth="1"/>
    <col min="2" max="2" width="28" customWidth="1"/>
    <col min="3" max="3" width="30" customWidth="1"/>
    <col min="4" max="4" width="20" customWidth="1"/>
    <col min="5" max="9" width="12" customWidth="1"/>
    <col min="10" max="10" width="3" customWidth="1"/>
  </cols>
  <sheetData>
    <row r="1" spans="2:9" ht="10" customHeight="1"/>
    <row r="2" spans="2:9" ht="42" customHeight="1">
      <c r="B2" s="89" t="s">
        <v>0</v>
      </c>
      <c r="C2" s="85"/>
      <c r="D2" s="85"/>
      <c r="E2" s="85"/>
      <c r="F2" s="85"/>
      <c r="G2" s="85"/>
      <c r="H2" s="85"/>
      <c r="I2" s="85"/>
    </row>
    <row r="3" spans="2:9" ht="16" customHeight="1">
      <c r="B3" s="90" t="s">
        <v>1</v>
      </c>
      <c r="C3" s="85"/>
      <c r="D3" s="85"/>
      <c r="E3" s="85"/>
      <c r="F3" s="85"/>
      <c r="G3" s="85"/>
      <c r="H3" s="85"/>
      <c r="I3" s="85"/>
    </row>
    <row r="4" spans="2:9" ht="10" customHeight="1"/>
    <row r="5" spans="2:9" ht="22" customHeight="1">
      <c r="B5" s="87" t="s">
        <v>2</v>
      </c>
      <c r="C5" s="85"/>
      <c r="D5" s="85"/>
      <c r="E5" s="85"/>
      <c r="F5" s="85"/>
      <c r="G5" s="85"/>
      <c r="H5" s="85"/>
      <c r="I5" s="85"/>
    </row>
    <row r="6" spans="2:9" ht="28" customHeight="1">
      <c r="B6" s="88" t="s">
        <v>3</v>
      </c>
      <c r="C6" s="85"/>
      <c r="D6" s="85"/>
      <c r="E6" s="85"/>
      <c r="F6" s="85"/>
      <c r="G6" s="85"/>
      <c r="H6" s="85"/>
      <c r="I6" s="85"/>
    </row>
    <row r="7" spans="2:9" ht="28" customHeight="1">
      <c r="B7" s="84" t="s">
        <v>4</v>
      </c>
      <c r="C7" s="85"/>
      <c r="D7" s="85"/>
      <c r="E7" s="85"/>
      <c r="F7" s="85"/>
      <c r="G7" s="85"/>
      <c r="H7" s="85"/>
      <c r="I7" s="85"/>
    </row>
    <row r="8" spans="2:9" ht="28" customHeight="1">
      <c r="B8" s="88" t="s">
        <v>5</v>
      </c>
      <c r="C8" s="85"/>
      <c r="D8" s="85"/>
      <c r="E8" s="85"/>
      <c r="F8" s="85"/>
      <c r="G8" s="85"/>
      <c r="H8" s="85"/>
      <c r="I8" s="85"/>
    </row>
    <row r="9" spans="2:9" ht="28" customHeight="1">
      <c r="B9" s="84" t="s">
        <v>6</v>
      </c>
      <c r="C9" s="85"/>
      <c r="D9" s="85"/>
      <c r="E9" s="85"/>
      <c r="F9" s="85"/>
      <c r="G9" s="85"/>
      <c r="H9" s="85"/>
      <c r="I9" s="85"/>
    </row>
    <row r="10" spans="2:9" ht="10" customHeight="1"/>
    <row r="11" spans="2:9" ht="22" customHeight="1">
      <c r="B11" s="87" t="s">
        <v>7</v>
      </c>
      <c r="C11" s="85"/>
      <c r="D11" s="85"/>
      <c r="E11" s="85"/>
      <c r="F11" s="85"/>
      <c r="G11" s="85"/>
      <c r="H11" s="85"/>
      <c r="I11" s="85"/>
    </row>
    <row r="12" spans="2:9" ht="22" customHeight="1"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</row>
    <row r="13" spans="2:9" ht="24" customHeight="1">
      <c r="B13" s="2" t="s">
        <v>16</v>
      </c>
      <c r="C13" s="3" t="s">
        <v>17</v>
      </c>
      <c r="D13" s="4">
        <v>163771025.24000001</v>
      </c>
      <c r="E13" s="5">
        <v>1.117647518786E-2</v>
      </c>
      <c r="F13" s="5">
        <v>1.0224353538394499</v>
      </c>
      <c r="G13" s="5">
        <v>0.14783430151017149</v>
      </c>
      <c r="H13" s="5">
        <v>1.0104435961161911</v>
      </c>
      <c r="I13" s="6" t="s">
        <v>18</v>
      </c>
    </row>
    <row r="14" spans="2:9" ht="24" customHeight="1">
      <c r="B14" s="7" t="s">
        <v>19</v>
      </c>
      <c r="C14" s="8" t="s">
        <v>20</v>
      </c>
      <c r="D14" s="9">
        <v>241175323.52000001</v>
      </c>
      <c r="E14" s="10">
        <v>1.1282501824789499E-2</v>
      </c>
      <c r="F14" s="10">
        <v>1.0321347787675501</v>
      </c>
      <c r="G14" s="10">
        <v>0.1523114437188606</v>
      </c>
      <c r="H14" s="10">
        <v>1.041044746373327</v>
      </c>
      <c r="I14" s="11" t="s">
        <v>18</v>
      </c>
    </row>
    <row r="15" spans="2:9" ht="24" customHeight="1">
      <c r="B15" s="12" t="s">
        <v>21</v>
      </c>
      <c r="C15" s="3" t="s">
        <v>22</v>
      </c>
      <c r="D15" s="13">
        <v>2090463113.6199999</v>
      </c>
      <c r="E15" s="5">
        <v>1.12273659409223E-2</v>
      </c>
      <c r="F15" s="5">
        <v>1.0270908918547741</v>
      </c>
      <c r="G15" s="5">
        <v>0.15050246915786539</v>
      </c>
      <c r="H15" s="5">
        <v>1.0286804524170361</v>
      </c>
      <c r="I15" s="6" t="s">
        <v>23</v>
      </c>
    </row>
    <row r="16" spans="2:9" ht="24" customHeight="1">
      <c r="B16" s="14" t="s">
        <v>24</v>
      </c>
      <c r="C16" s="8" t="s">
        <v>25</v>
      </c>
      <c r="D16" s="15">
        <v>490832296.50999999</v>
      </c>
      <c r="E16" s="10">
        <v>1.05736374614642E-2</v>
      </c>
      <c r="F16" s="16">
        <v>0.96728714353744383</v>
      </c>
      <c r="G16" s="10">
        <v>0.14153164178617469</v>
      </c>
      <c r="H16" s="16">
        <v>0.96736508124138842</v>
      </c>
      <c r="I16" s="11" t="s">
        <v>18</v>
      </c>
    </row>
    <row r="18" spans="2:9" ht="14" customHeight="1">
      <c r="B18" s="86" t="s">
        <v>26</v>
      </c>
      <c r="C18" s="85"/>
      <c r="D18" s="85"/>
      <c r="E18" s="85"/>
      <c r="F18" s="85"/>
      <c r="G18" s="85"/>
      <c r="H18" s="85"/>
      <c r="I18" s="85"/>
    </row>
  </sheetData>
  <mergeCells count="9">
    <mergeCell ref="B2:I2"/>
    <mergeCell ref="B3:I3"/>
    <mergeCell ref="B5:I5"/>
    <mergeCell ref="B8:I8"/>
    <mergeCell ref="B9:I9"/>
    <mergeCell ref="B18:I18"/>
    <mergeCell ref="B7:I7"/>
    <mergeCell ref="B11:I11"/>
    <mergeCell ref="B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3"/>
  <sheetViews>
    <sheetView showGridLines="0" workbookViewId="0"/>
  </sheetViews>
  <sheetFormatPr defaultRowHeight="14.75"/>
  <cols>
    <col min="1" max="1" width="3" customWidth="1"/>
    <col min="2" max="2" width="5" customWidth="1"/>
    <col min="3" max="3" width="42" customWidth="1"/>
    <col min="4" max="4" width="17" customWidth="1"/>
    <col min="5" max="6" width="10" customWidth="1"/>
    <col min="7" max="7" width="17" customWidth="1"/>
    <col min="8" max="9" width="10" customWidth="1"/>
    <col min="10" max="10" width="17" customWidth="1"/>
    <col min="11" max="12" width="10" customWidth="1"/>
    <col min="13" max="14" width="17" customWidth="1"/>
    <col min="15" max="15" width="10" customWidth="1"/>
    <col min="16" max="16" width="3" customWidth="1"/>
  </cols>
  <sheetData>
    <row r="1" spans="2:15" ht="8" customHeight="1"/>
    <row r="2" spans="2:15" ht="38" customHeight="1">
      <c r="B2" s="98" t="s">
        <v>27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2:15" ht="15" customHeight="1">
      <c r="B3" s="93" t="s">
        <v>28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2:15" ht="8" customHeight="1"/>
    <row r="5" spans="2:15" ht="18" customHeight="1">
      <c r="B5" s="17"/>
      <c r="C5" s="17"/>
      <c r="D5" s="96" t="s">
        <v>29</v>
      </c>
      <c r="E5" s="97"/>
      <c r="F5" s="97"/>
      <c r="G5" s="96" t="s">
        <v>30</v>
      </c>
      <c r="H5" s="97"/>
      <c r="I5" s="97"/>
      <c r="J5" s="96" t="s">
        <v>31</v>
      </c>
      <c r="K5" s="97"/>
      <c r="L5" s="97"/>
      <c r="M5" s="1" t="s">
        <v>32</v>
      </c>
      <c r="N5" s="1" t="s">
        <v>33</v>
      </c>
      <c r="O5" s="1" t="s">
        <v>34</v>
      </c>
    </row>
    <row r="6" spans="2:15" ht="22" customHeight="1">
      <c r="B6" s="18" t="s">
        <v>35</v>
      </c>
      <c r="C6" s="19" t="s">
        <v>36</v>
      </c>
      <c r="D6" s="20" t="s">
        <v>37</v>
      </c>
      <c r="E6" s="20" t="s">
        <v>38</v>
      </c>
      <c r="F6" s="20" t="s">
        <v>39</v>
      </c>
      <c r="G6" s="20" t="s">
        <v>37</v>
      </c>
      <c r="H6" s="20" t="s">
        <v>38</v>
      </c>
      <c r="I6" s="20" t="s">
        <v>39</v>
      </c>
      <c r="J6" s="20" t="s">
        <v>37</v>
      </c>
      <c r="K6" s="20" t="s">
        <v>38</v>
      </c>
      <c r="L6" s="20" t="s">
        <v>39</v>
      </c>
      <c r="M6" s="20" t="s">
        <v>40</v>
      </c>
      <c r="N6" s="20" t="s">
        <v>41</v>
      </c>
      <c r="O6" s="20" t="s">
        <v>42</v>
      </c>
    </row>
    <row r="7" spans="2:15" ht="22" customHeight="1">
      <c r="B7" s="21">
        <v>1</v>
      </c>
      <c r="C7" s="22" t="s">
        <v>17</v>
      </c>
      <c r="D7" s="23">
        <v>163771025.24000001</v>
      </c>
      <c r="E7" s="24">
        <v>1.117647518786E-2</v>
      </c>
      <c r="F7" s="24">
        <v>1.0224353538394499</v>
      </c>
      <c r="G7" s="25">
        <v>1224621955.49</v>
      </c>
      <c r="H7" s="26">
        <v>0.14783430151017149</v>
      </c>
      <c r="I7" s="26">
        <v>1.0104435961161911</v>
      </c>
      <c r="J7" s="25">
        <v>1051428952.9400001</v>
      </c>
      <c r="K7" s="26">
        <v>9.4939980356328002E-2</v>
      </c>
      <c r="L7" s="26">
        <v>1.018237882551855</v>
      </c>
      <c r="M7" s="25">
        <v>1439735671.28</v>
      </c>
      <c r="N7" s="27">
        <v>24990220.25</v>
      </c>
      <c r="O7" s="28" t="s">
        <v>18</v>
      </c>
    </row>
    <row r="8" spans="2:15" ht="22" customHeight="1">
      <c r="B8" s="29">
        <v>2</v>
      </c>
      <c r="C8" s="22" t="s">
        <v>43</v>
      </c>
      <c r="D8" s="25">
        <v>145954693.66</v>
      </c>
      <c r="E8" s="24">
        <v>1.0916960702863099E-2</v>
      </c>
      <c r="F8" s="30">
        <v>0.99869470396242266</v>
      </c>
      <c r="G8" s="25">
        <v>2261202540.0500002</v>
      </c>
      <c r="H8" s="26">
        <v>0.14447948129754271</v>
      </c>
      <c r="I8" s="31">
        <v>0.98751348743814071</v>
      </c>
      <c r="J8" s="25">
        <v>1641218471.53</v>
      </c>
      <c r="K8" s="26">
        <v>9.2337932704891199E-2</v>
      </c>
      <c r="L8" s="31">
        <v>0.99033074078761707</v>
      </c>
      <c r="M8" s="25">
        <v>7069673258.75</v>
      </c>
      <c r="N8" s="27">
        <v>194810265.44</v>
      </c>
      <c r="O8" s="28" t="s">
        <v>18</v>
      </c>
    </row>
    <row r="9" spans="2:15" ht="22" customHeight="1">
      <c r="B9" s="32">
        <v>3</v>
      </c>
      <c r="C9" s="22" t="s">
        <v>44</v>
      </c>
      <c r="D9" s="25">
        <v>110921713.05</v>
      </c>
      <c r="E9" s="24">
        <v>1.1203704518752701E-2</v>
      </c>
      <c r="F9" s="24">
        <v>1.0249263208123229</v>
      </c>
      <c r="G9" s="25">
        <v>777872744.62</v>
      </c>
      <c r="H9" s="26">
        <v>0.15011522555183451</v>
      </c>
      <c r="I9" s="26">
        <v>1.0260336524669991</v>
      </c>
      <c r="J9" s="25">
        <v>233344482.37</v>
      </c>
      <c r="K9" s="26">
        <v>9.6327057613705594E-2</v>
      </c>
      <c r="L9" s="26">
        <v>1.0331143824646121</v>
      </c>
      <c r="M9" s="25">
        <v>3676879472.9899998</v>
      </c>
      <c r="N9" s="27">
        <v>57297694.609999999</v>
      </c>
      <c r="O9" s="28" t="s">
        <v>18</v>
      </c>
    </row>
    <row r="10" spans="2:15" ht="22" customHeight="1">
      <c r="B10" s="33">
        <v>4</v>
      </c>
      <c r="C10" s="8" t="s">
        <v>45</v>
      </c>
      <c r="D10" s="34">
        <v>48921525.890000001</v>
      </c>
      <c r="E10" s="35">
        <v>1.07952988896062E-2</v>
      </c>
      <c r="F10" s="36">
        <v>0.98756495715090709</v>
      </c>
      <c r="G10" s="34">
        <v>624882784.92999995</v>
      </c>
      <c r="H10" s="35">
        <v>0.15394172269462031</v>
      </c>
      <c r="I10" s="35">
        <v>1.0521876606639311</v>
      </c>
      <c r="J10" s="34">
        <v>569334932.70000005</v>
      </c>
      <c r="K10" s="35">
        <v>9.0659225475596003E-2</v>
      </c>
      <c r="L10" s="36">
        <v>0.97232648917342235</v>
      </c>
      <c r="M10" s="34">
        <v>953577231.72000003</v>
      </c>
      <c r="N10" s="37">
        <v>26275847.41</v>
      </c>
      <c r="O10" s="11" t="s">
        <v>18</v>
      </c>
    </row>
    <row r="11" spans="2:15" ht="22" customHeight="1">
      <c r="B11" s="33">
        <v>5</v>
      </c>
      <c r="C11" s="3" t="s">
        <v>46</v>
      </c>
      <c r="D11" s="38">
        <v>46859486.520000003</v>
      </c>
      <c r="E11" s="39">
        <v>1.0827762314073499E-2</v>
      </c>
      <c r="F11" s="40">
        <v>0.99053474434446853</v>
      </c>
      <c r="G11" s="38">
        <v>376285175.31999999</v>
      </c>
      <c r="H11" s="39">
        <v>0.14472338146810501</v>
      </c>
      <c r="I11" s="40">
        <v>0.98918053874435852</v>
      </c>
      <c r="J11" s="38">
        <v>195992070.71000001</v>
      </c>
      <c r="K11" s="39">
        <v>9.3335289709369301E-2</v>
      </c>
      <c r="L11" s="39">
        <v>1.0010274639233969</v>
      </c>
      <c r="M11" s="38">
        <v>781379329.12</v>
      </c>
      <c r="N11" s="41">
        <v>12620390.23</v>
      </c>
      <c r="O11" s="6" t="s">
        <v>18</v>
      </c>
    </row>
    <row r="12" spans="2:15" ht="22" customHeight="1">
      <c r="B12" s="33">
        <v>6</v>
      </c>
      <c r="C12" s="8" t="s">
        <v>47</v>
      </c>
      <c r="D12" s="34">
        <v>46550098.170000002</v>
      </c>
      <c r="E12" s="35">
        <v>1.0585978351894201E-2</v>
      </c>
      <c r="F12" s="36">
        <v>0.96841610078571794</v>
      </c>
      <c r="G12" s="34">
        <v>488106700.26999998</v>
      </c>
      <c r="H12" s="35">
        <v>0.15000297496466941</v>
      </c>
      <c r="I12" s="35">
        <v>1.0252664226306041</v>
      </c>
      <c r="J12" s="34">
        <v>210011626.21000001</v>
      </c>
      <c r="K12" s="35">
        <v>9.3988873020852598E-2</v>
      </c>
      <c r="L12" s="35">
        <v>1.008037190327997</v>
      </c>
      <c r="M12" s="34">
        <v>600773365.03999996</v>
      </c>
      <c r="N12" s="37">
        <v>4447613.97</v>
      </c>
      <c r="O12" s="11" t="s">
        <v>23</v>
      </c>
    </row>
    <row r="13" spans="2:15" ht="22" customHeight="1">
      <c r="B13" s="33">
        <v>7</v>
      </c>
      <c r="C13" s="3" t="s">
        <v>48</v>
      </c>
      <c r="D13" s="38">
        <v>41598211</v>
      </c>
      <c r="E13" s="39">
        <v>1.1616525593042199E-2</v>
      </c>
      <c r="F13" s="39">
        <v>1.062691613900616</v>
      </c>
      <c r="G13" s="38">
        <v>322582832.87</v>
      </c>
      <c r="H13" s="39">
        <v>0.1588105588753439</v>
      </c>
      <c r="I13" s="39">
        <v>1.0854660290066971</v>
      </c>
      <c r="J13" s="38">
        <v>274900339.76999998</v>
      </c>
      <c r="K13" s="39">
        <v>9.8348575015610298E-2</v>
      </c>
      <c r="L13" s="39">
        <v>1.054795296986941</v>
      </c>
      <c r="M13" s="38">
        <v>372039218.66000003</v>
      </c>
      <c r="N13" s="41">
        <v>1269194.73</v>
      </c>
      <c r="O13" s="6" t="s">
        <v>18</v>
      </c>
    </row>
    <row r="14" spans="2:15" ht="22" customHeight="1">
      <c r="B14" s="33">
        <v>8</v>
      </c>
      <c r="C14" s="8" t="s">
        <v>49</v>
      </c>
      <c r="D14" s="34">
        <v>38557335.619999997</v>
      </c>
      <c r="E14" s="35">
        <v>1.0766231033420601E-2</v>
      </c>
      <c r="F14" s="36">
        <v>0.98490580000834405</v>
      </c>
      <c r="G14" s="34">
        <v>314947060.37</v>
      </c>
      <c r="H14" s="35">
        <v>0.14530471519231589</v>
      </c>
      <c r="I14" s="36">
        <v>0.99315393959135234</v>
      </c>
      <c r="J14" s="34">
        <v>256988824.58000001</v>
      </c>
      <c r="K14" s="35">
        <v>9.2347681126149203E-2</v>
      </c>
      <c r="L14" s="36">
        <v>0.99043529328260094</v>
      </c>
      <c r="M14" s="34">
        <v>782302972</v>
      </c>
      <c r="N14" s="37">
        <v>6220352.3300000001</v>
      </c>
      <c r="O14" s="11" t="s">
        <v>18</v>
      </c>
    </row>
    <row r="15" spans="2:15" ht="22" customHeight="1">
      <c r="B15" s="33">
        <v>9</v>
      </c>
      <c r="C15" s="3" t="s">
        <v>50</v>
      </c>
      <c r="D15" s="38">
        <v>35640130.640000001</v>
      </c>
      <c r="E15" s="39">
        <v>1.1072407062992101E-2</v>
      </c>
      <c r="F15" s="39">
        <v>1.012915095593067</v>
      </c>
      <c r="G15" s="38">
        <v>735265036.15999997</v>
      </c>
      <c r="H15" s="39">
        <v>0.1465203417844427</v>
      </c>
      <c r="I15" s="39">
        <v>1.0014627156516811</v>
      </c>
      <c r="J15" s="38">
        <v>661764557.27999997</v>
      </c>
      <c r="K15" s="39">
        <v>9.3495235512854394E-2</v>
      </c>
      <c r="L15" s="39">
        <v>1.0027428937734191</v>
      </c>
      <c r="M15" s="38">
        <v>1046171628.83</v>
      </c>
      <c r="N15" s="41">
        <v>45262516.890000001</v>
      </c>
      <c r="O15" s="6" t="s">
        <v>18</v>
      </c>
    </row>
    <row r="16" spans="2:15" ht="22" customHeight="1">
      <c r="B16" s="33">
        <v>10</v>
      </c>
      <c r="C16" s="8" t="s">
        <v>51</v>
      </c>
      <c r="D16" s="34">
        <v>34231190.969999999</v>
      </c>
      <c r="E16" s="35">
        <v>1.09674615170842E-2</v>
      </c>
      <c r="F16" s="35">
        <v>1.003314569974689</v>
      </c>
      <c r="G16" s="34">
        <v>250357452.16999999</v>
      </c>
      <c r="H16" s="35">
        <v>0.14815821607583229</v>
      </c>
      <c r="I16" s="35">
        <v>1.0126575437265719</v>
      </c>
      <c r="J16" s="34">
        <v>238173140.53</v>
      </c>
      <c r="K16" s="35">
        <v>9.4202420656484598E-2</v>
      </c>
      <c r="L16" s="35">
        <v>1.010327503550243</v>
      </c>
      <c r="M16" s="34">
        <v>492335365.52999997</v>
      </c>
      <c r="N16" s="37">
        <v>3404298.57</v>
      </c>
      <c r="O16" s="11" t="s">
        <v>18</v>
      </c>
    </row>
    <row r="17" spans="2:15" ht="22" customHeight="1">
      <c r="B17" s="42" t="s">
        <v>52</v>
      </c>
      <c r="C17" s="43" t="s">
        <v>53</v>
      </c>
      <c r="D17" s="44">
        <f>SUM(D7:D16)</f>
        <v>713005410.75999999</v>
      </c>
      <c r="E17" s="45"/>
      <c r="F17" s="45"/>
      <c r="G17" s="44">
        <f>SUM(G7:G16)</f>
        <v>7376124282.25</v>
      </c>
      <c r="H17" s="45"/>
      <c r="I17" s="45"/>
      <c r="J17" s="44">
        <f>SUM(J7:J16)</f>
        <v>5333157398.6199999</v>
      </c>
      <c r="K17" s="45"/>
      <c r="L17" s="45"/>
      <c r="M17" s="44">
        <f>SUM(M7:M16)</f>
        <v>17214867513.920002</v>
      </c>
      <c r="N17" s="44">
        <f>SUM(N7:N16)</f>
        <v>376598394.43000007</v>
      </c>
      <c r="O17" s="45"/>
    </row>
    <row r="19" spans="2:15" ht="22" customHeight="1">
      <c r="B19" s="99" t="s">
        <v>54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2:15" ht="20" customHeight="1">
      <c r="B20" s="100" t="s">
        <v>55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</row>
    <row r="21" spans="2:15" ht="18" customHeight="1">
      <c r="B21" s="94" t="s">
        <v>56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</row>
    <row r="22" spans="2:15" ht="16" customHeight="1">
      <c r="B22" s="92" t="s">
        <v>57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</row>
    <row r="23" spans="2:15" ht="16" customHeight="1">
      <c r="B23" s="92" t="s">
        <v>58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</row>
    <row r="24" spans="2:15" ht="16" customHeight="1">
      <c r="B24" s="92" t="s">
        <v>59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</row>
    <row r="25" spans="2:15" ht="16" customHeight="1">
      <c r="B25" s="92" t="s">
        <v>60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</row>
    <row r="26" spans="2:15" ht="14" customHeight="1">
      <c r="B26" s="91" t="s">
        <v>61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</row>
    <row r="28" spans="2:15" ht="20" customHeight="1">
      <c r="B28" s="100" t="s">
        <v>62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</row>
    <row r="29" spans="2:15" ht="18" customHeight="1">
      <c r="B29" s="94" t="s">
        <v>63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</row>
    <row r="30" spans="2:15" ht="16" customHeight="1">
      <c r="B30" s="92" t="s">
        <v>64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</row>
    <row r="31" spans="2:15" ht="16" customHeight="1">
      <c r="B31" s="92" t="s">
        <v>58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</row>
    <row r="32" spans="2:15" ht="16" customHeight="1">
      <c r="B32" s="92" t="s">
        <v>65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</row>
    <row r="33" spans="2:15" ht="16" customHeight="1">
      <c r="B33" s="92" t="s">
        <v>66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</row>
    <row r="34" spans="2:15" ht="14" customHeight="1">
      <c r="B34" s="91" t="s">
        <v>61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</row>
    <row r="36" spans="2:15" ht="20" customHeight="1">
      <c r="B36" s="100" t="s">
        <v>67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</row>
    <row r="37" spans="2:15" ht="18" customHeight="1">
      <c r="B37" s="94" t="s">
        <v>68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</row>
    <row r="38" spans="2:15" ht="16" customHeight="1">
      <c r="B38" s="92" t="s">
        <v>57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</row>
    <row r="39" spans="2:15" ht="16" customHeight="1">
      <c r="B39" s="92" t="s">
        <v>58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</row>
    <row r="40" spans="2:15" ht="16" customHeight="1">
      <c r="B40" s="92" t="s">
        <v>60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</row>
    <row r="41" spans="2:15" ht="14" customHeight="1">
      <c r="B41" s="91" t="s">
        <v>61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</row>
    <row r="43" spans="2:15" ht="12" customHeight="1">
      <c r="B43" s="95" t="s">
        <v>69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</row>
  </sheetData>
  <mergeCells count="27">
    <mergeCell ref="B43:O43"/>
    <mergeCell ref="G5:I5"/>
    <mergeCell ref="B39:O39"/>
    <mergeCell ref="B2:O2"/>
    <mergeCell ref="B23:O23"/>
    <mergeCell ref="D5:F5"/>
    <mergeCell ref="B38:O38"/>
    <mergeCell ref="B29:O29"/>
    <mergeCell ref="B19:O19"/>
    <mergeCell ref="B34:O34"/>
    <mergeCell ref="B37:O37"/>
    <mergeCell ref="B28:O28"/>
    <mergeCell ref="B40:O40"/>
    <mergeCell ref="J5:L5"/>
    <mergeCell ref="B24:O24"/>
    <mergeCell ref="B30:O30"/>
    <mergeCell ref="B26:O26"/>
    <mergeCell ref="B41:O41"/>
    <mergeCell ref="B25:O25"/>
    <mergeCell ref="B3:O3"/>
    <mergeCell ref="B31:O31"/>
    <mergeCell ref="B22:O22"/>
    <mergeCell ref="B21:O21"/>
    <mergeCell ref="B33:O33"/>
    <mergeCell ref="B20:O20"/>
    <mergeCell ref="B36:O36"/>
    <mergeCell ref="B32:O3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41"/>
  <sheetViews>
    <sheetView showGridLines="0" workbookViewId="0"/>
  </sheetViews>
  <sheetFormatPr defaultRowHeight="14.75"/>
  <cols>
    <col min="1" max="1" width="3" customWidth="1"/>
    <col min="2" max="2" width="5" customWidth="1"/>
    <col min="3" max="3" width="42" customWidth="1"/>
    <col min="4" max="4" width="17" customWidth="1"/>
    <col min="5" max="6" width="10" customWidth="1"/>
    <col min="7" max="7" width="17" customWidth="1"/>
    <col min="8" max="9" width="10" customWidth="1"/>
    <col min="10" max="10" width="17" customWidth="1"/>
    <col min="11" max="12" width="10" customWidth="1"/>
    <col min="13" max="14" width="17" customWidth="1"/>
    <col min="15" max="15" width="10" customWidth="1"/>
    <col min="16" max="16" width="3" customWidth="1"/>
  </cols>
  <sheetData>
    <row r="1" spans="2:15" ht="8" customHeight="1"/>
    <row r="2" spans="2:15" ht="38" customHeight="1">
      <c r="B2" s="102" t="s">
        <v>70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2:15" ht="15" customHeight="1">
      <c r="B3" s="93" t="s">
        <v>28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2:15" ht="8" customHeight="1"/>
    <row r="5" spans="2:15" ht="18" customHeight="1">
      <c r="B5" s="46"/>
      <c r="C5" s="46"/>
      <c r="D5" s="96" t="s">
        <v>29</v>
      </c>
      <c r="E5" s="97"/>
      <c r="F5" s="97"/>
      <c r="G5" s="96" t="s">
        <v>30</v>
      </c>
      <c r="H5" s="97"/>
      <c r="I5" s="97"/>
      <c r="J5" s="96" t="s">
        <v>31</v>
      </c>
      <c r="K5" s="97"/>
      <c r="L5" s="97"/>
      <c r="M5" s="1" t="s">
        <v>32</v>
      </c>
      <c r="N5" s="1" t="s">
        <v>33</v>
      </c>
      <c r="O5" s="1" t="s">
        <v>34</v>
      </c>
    </row>
    <row r="6" spans="2:15" ht="22" customHeight="1">
      <c r="B6" s="47" t="s">
        <v>35</v>
      </c>
      <c r="C6" s="48" t="s">
        <v>36</v>
      </c>
      <c r="D6" s="20" t="s">
        <v>37</v>
      </c>
      <c r="E6" s="20" t="s">
        <v>38</v>
      </c>
      <c r="F6" s="20" t="s">
        <v>39</v>
      </c>
      <c r="G6" s="20" t="s">
        <v>37</v>
      </c>
      <c r="H6" s="20" t="s">
        <v>38</v>
      </c>
      <c r="I6" s="20" t="s">
        <v>39</v>
      </c>
      <c r="J6" s="20" t="s">
        <v>37</v>
      </c>
      <c r="K6" s="20" t="s">
        <v>38</v>
      </c>
      <c r="L6" s="20" t="s">
        <v>39</v>
      </c>
      <c r="M6" s="20" t="s">
        <v>40</v>
      </c>
      <c r="N6" s="20" t="s">
        <v>41</v>
      </c>
      <c r="O6" s="20" t="s">
        <v>42</v>
      </c>
    </row>
    <row r="7" spans="2:15" ht="22" customHeight="1">
      <c r="B7" s="21">
        <v>1</v>
      </c>
      <c r="C7" s="49" t="s">
        <v>71</v>
      </c>
      <c r="D7" s="50">
        <v>241175323.52000001</v>
      </c>
      <c r="E7" s="51">
        <v>1.1282501824789499E-2</v>
      </c>
      <c r="F7" s="51">
        <v>1.0321347787675501</v>
      </c>
      <c r="G7" s="52">
        <v>589561990.81000006</v>
      </c>
      <c r="H7" s="53">
        <v>0.1523114437188606</v>
      </c>
      <c r="I7" s="53">
        <v>1.041044746373327</v>
      </c>
      <c r="J7" s="52">
        <v>637646273.65999997</v>
      </c>
      <c r="K7" s="53">
        <v>9.7434021236452104E-2</v>
      </c>
      <c r="L7" s="53">
        <v>1.0449866441930939</v>
      </c>
      <c r="M7" s="52">
        <v>1066478056.91</v>
      </c>
      <c r="N7" s="54">
        <v>33466983.960000001</v>
      </c>
      <c r="O7" s="55" t="s">
        <v>18</v>
      </c>
    </row>
    <row r="8" spans="2:15" ht="22" customHeight="1">
      <c r="B8" s="29">
        <v>2</v>
      </c>
      <c r="C8" s="49" t="s">
        <v>72</v>
      </c>
      <c r="D8" s="52">
        <v>166490475.59</v>
      </c>
      <c r="E8" s="51">
        <v>1.10528672015128E-2</v>
      </c>
      <c r="F8" s="51">
        <v>1.011127569127902</v>
      </c>
      <c r="G8" s="52">
        <v>2310611535.6199999</v>
      </c>
      <c r="H8" s="53">
        <v>0.1474107944291658</v>
      </c>
      <c r="I8" s="53">
        <v>1.0075489362602541</v>
      </c>
      <c r="J8" s="52">
        <v>1585289364.9100001</v>
      </c>
      <c r="K8" s="53">
        <v>9.4033941936208801E-2</v>
      </c>
      <c r="L8" s="53">
        <v>1.008520557575062</v>
      </c>
      <c r="M8" s="52">
        <v>6793501960.9300003</v>
      </c>
      <c r="N8" s="54">
        <v>168775354.44999999</v>
      </c>
      <c r="O8" s="55" t="s">
        <v>18</v>
      </c>
    </row>
    <row r="9" spans="2:15" ht="22" customHeight="1">
      <c r="B9" s="32">
        <v>3</v>
      </c>
      <c r="C9" s="49" t="s">
        <v>73</v>
      </c>
      <c r="D9" s="52">
        <v>99393214.890000001</v>
      </c>
      <c r="E9" s="51">
        <v>1.0807649817434499E-2</v>
      </c>
      <c r="F9" s="56">
        <v>0.98869483263061919</v>
      </c>
      <c r="G9" s="52">
        <v>592372198.41999996</v>
      </c>
      <c r="H9" s="53">
        <v>0.14607500802199169</v>
      </c>
      <c r="I9" s="57">
        <v>0.9984188709971844</v>
      </c>
      <c r="J9" s="52">
        <v>526016542.83999997</v>
      </c>
      <c r="K9" s="53">
        <v>9.3438518949479299E-2</v>
      </c>
      <c r="L9" s="53">
        <v>1.002134604692466</v>
      </c>
      <c r="M9" s="52">
        <v>2130339342.78</v>
      </c>
      <c r="N9" s="54">
        <v>46806069.359999999</v>
      </c>
      <c r="O9" s="55" t="s">
        <v>18</v>
      </c>
    </row>
    <row r="10" spans="2:15" ht="22" customHeight="1">
      <c r="B10" s="33">
        <v>4</v>
      </c>
      <c r="C10" s="8" t="s">
        <v>74</v>
      </c>
      <c r="D10" s="34">
        <v>96757054.489999995</v>
      </c>
      <c r="E10" s="35">
        <v>1.04749437877131E-2</v>
      </c>
      <c r="F10" s="36">
        <v>0.95825854556292056</v>
      </c>
      <c r="G10" s="34">
        <v>610118934.25</v>
      </c>
      <c r="H10" s="35">
        <v>0.16184490635439611</v>
      </c>
      <c r="I10" s="35">
        <v>1.1062057149069191</v>
      </c>
      <c r="J10" s="34">
        <v>485332850.10000002</v>
      </c>
      <c r="K10" s="35">
        <v>0.1030507327782479</v>
      </c>
      <c r="L10" s="35">
        <v>1.105226265538682</v>
      </c>
      <c r="M10" s="34">
        <v>732186079.72000003</v>
      </c>
      <c r="N10" s="37">
        <v>5588285.3500000006</v>
      </c>
      <c r="O10" s="11" t="s">
        <v>23</v>
      </c>
    </row>
    <row r="11" spans="2:15" ht="22" customHeight="1">
      <c r="B11" s="33">
        <v>5</v>
      </c>
      <c r="C11" s="3" t="s">
        <v>75</v>
      </c>
      <c r="D11" s="38">
        <v>86576569.230000004</v>
      </c>
      <c r="E11" s="39">
        <v>1.13329401657364E-2</v>
      </c>
      <c r="F11" s="39">
        <v>1.0367489296609489</v>
      </c>
      <c r="G11" s="38">
        <v>852722697.25</v>
      </c>
      <c r="H11" s="39">
        <v>0.1517573863229302</v>
      </c>
      <c r="I11" s="39">
        <v>1.037257778518913</v>
      </c>
      <c r="J11" s="38">
        <v>762447414.01999998</v>
      </c>
      <c r="K11" s="39">
        <v>9.5185059356426002E-2</v>
      </c>
      <c r="L11" s="39">
        <v>1.020866371847736</v>
      </c>
      <c r="M11" s="38">
        <v>1287797947.8499999</v>
      </c>
      <c r="N11" s="41">
        <v>13295915.23</v>
      </c>
      <c r="O11" s="6" t="s">
        <v>76</v>
      </c>
    </row>
    <row r="12" spans="2:15" ht="22" customHeight="1">
      <c r="B12" s="33">
        <v>6</v>
      </c>
      <c r="C12" s="8" t="s">
        <v>77</v>
      </c>
      <c r="D12" s="34">
        <v>43725378.140000001</v>
      </c>
      <c r="E12" s="35">
        <v>1.0967049322444701E-2</v>
      </c>
      <c r="F12" s="35">
        <v>1.003276861988494</v>
      </c>
      <c r="G12" s="34">
        <v>312963260.33999997</v>
      </c>
      <c r="H12" s="35">
        <v>0.14688309858693471</v>
      </c>
      <c r="I12" s="35">
        <v>1.0039421489380109</v>
      </c>
      <c r="J12" s="34">
        <v>287071686.17000002</v>
      </c>
      <c r="K12" s="35">
        <v>9.4735199437957704E-2</v>
      </c>
      <c r="L12" s="35">
        <v>1.0160415929810569</v>
      </c>
      <c r="M12" s="34">
        <v>421464126.30000001</v>
      </c>
      <c r="N12" s="37">
        <v>6288879.29</v>
      </c>
      <c r="O12" s="11" t="s">
        <v>23</v>
      </c>
    </row>
    <row r="13" spans="2:15" ht="22" customHeight="1">
      <c r="B13" s="33">
        <v>7</v>
      </c>
      <c r="C13" s="3" t="s">
        <v>78</v>
      </c>
      <c r="D13" s="38">
        <v>32340166.649999999</v>
      </c>
      <c r="E13" s="39">
        <v>1.6449196554725098E-2</v>
      </c>
      <c r="F13" s="39">
        <v>1.504789284377704</v>
      </c>
      <c r="G13" s="38">
        <v>77671563.769999996</v>
      </c>
      <c r="H13" s="39">
        <v>0.15674055974029161</v>
      </c>
      <c r="I13" s="39">
        <v>1.0713176388928121</v>
      </c>
      <c r="J13" s="38">
        <v>78134517.140000001</v>
      </c>
      <c r="K13" s="39">
        <v>0.1053574390701377</v>
      </c>
      <c r="L13" s="39">
        <v>1.1299658507114141</v>
      </c>
      <c r="M13" s="38">
        <v>90075110.519999996</v>
      </c>
      <c r="N13" s="41">
        <v>374330.47</v>
      </c>
      <c r="O13" s="6" t="s">
        <v>23</v>
      </c>
    </row>
    <row r="14" spans="2:15" ht="22" customHeight="1">
      <c r="B14" s="33">
        <v>8</v>
      </c>
      <c r="C14" s="8" t="s">
        <v>79</v>
      </c>
      <c r="D14" s="34">
        <v>32126631.25</v>
      </c>
      <c r="E14" s="35">
        <v>1.1594504512281299E-2</v>
      </c>
      <c r="F14" s="35">
        <v>1.0606771029639159</v>
      </c>
      <c r="G14" s="34">
        <v>468932793.22000003</v>
      </c>
      <c r="H14" s="35">
        <v>0.14950342421389909</v>
      </c>
      <c r="I14" s="35">
        <v>1.0218520062746259</v>
      </c>
      <c r="J14" s="34">
        <v>425978337.51999998</v>
      </c>
      <c r="K14" s="35">
        <v>9.4656524961405294E-2</v>
      </c>
      <c r="L14" s="35">
        <v>1.0151978037563809</v>
      </c>
      <c r="M14" s="34">
        <v>907964679.47000003</v>
      </c>
      <c r="N14" s="37">
        <v>8244921.9800000004</v>
      </c>
      <c r="O14" s="11" t="s">
        <v>18</v>
      </c>
    </row>
    <row r="15" spans="2:15" ht="22" customHeight="1">
      <c r="B15" s="33">
        <v>9</v>
      </c>
      <c r="C15" s="3" t="s">
        <v>80</v>
      </c>
      <c r="D15" s="38">
        <v>30646926.82</v>
      </c>
      <c r="E15" s="39">
        <v>1.08066382570122E-2</v>
      </c>
      <c r="F15" s="40">
        <v>0.98860229405106526</v>
      </c>
      <c r="G15" s="38">
        <v>191948236.28999999</v>
      </c>
      <c r="H15" s="39">
        <v>0.14420683467345621</v>
      </c>
      <c r="I15" s="40">
        <v>0.98564995487163454</v>
      </c>
      <c r="J15" s="38">
        <v>108850757.48999999</v>
      </c>
      <c r="K15" s="39">
        <v>9.2959280699854693E-2</v>
      </c>
      <c r="L15" s="40">
        <v>0.99699474118391906</v>
      </c>
      <c r="M15" s="38">
        <v>889951820.00999999</v>
      </c>
      <c r="N15" s="41">
        <v>14109818.949999999</v>
      </c>
      <c r="O15" s="6" t="s">
        <v>23</v>
      </c>
    </row>
    <row r="16" spans="2:15" ht="22" customHeight="1">
      <c r="B16" s="33">
        <v>10</v>
      </c>
      <c r="C16" s="8" t="s">
        <v>81</v>
      </c>
      <c r="D16" s="34">
        <v>28149334.23</v>
      </c>
      <c r="E16" s="35">
        <v>1.19253080117331E-2</v>
      </c>
      <c r="F16" s="35">
        <v>1.0909393446213489</v>
      </c>
      <c r="G16" s="34">
        <v>50904100.469999999</v>
      </c>
      <c r="H16" s="58"/>
      <c r="I16" s="36"/>
      <c r="J16" s="34">
        <v>50904100.469999999</v>
      </c>
      <c r="K16" s="58"/>
      <c r="L16" s="36"/>
      <c r="M16" s="34">
        <v>52106653.549999997</v>
      </c>
      <c r="N16" s="37">
        <v>136494.78</v>
      </c>
      <c r="O16" s="11" t="s">
        <v>23</v>
      </c>
    </row>
    <row r="17" spans="2:15" ht="22" customHeight="1">
      <c r="B17" s="42" t="s">
        <v>52</v>
      </c>
      <c r="C17" s="43" t="s">
        <v>53</v>
      </c>
      <c r="D17" s="44">
        <f>SUM(D7:D16)</f>
        <v>857381074.81000006</v>
      </c>
      <c r="E17" s="45"/>
      <c r="F17" s="45"/>
      <c r="G17" s="44">
        <f>SUM(G7:G16)</f>
        <v>6057807310.4400015</v>
      </c>
      <c r="H17" s="45"/>
      <c r="I17" s="45"/>
      <c r="J17" s="44">
        <f>SUM(J7:J16)</f>
        <v>4947671844.3200006</v>
      </c>
      <c r="K17" s="45"/>
      <c r="L17" s="45"/>
      <c r="M17" s="44">
        <f>SUM(M7:M16)</f>
        <v>14371865778.039999</v>
      </c>
      <c r="N17" s="44">
        <f>SUM(N7:N16)</f>
        <v>297087053.81999999</v>
      </c>
      <c r="O17" s="45"/>
    </row>
    <row r="19" spans="2:15" ht="22" customHeight="1">
      <c r="B19" s="103" t="s">
        <v>54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2:15" ht="20" customHeight="1">
      <c r="B20" s="101" t="s">
        <v>82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</row>
    <row r="21" spans="2:15" ht="18" customHeight="1">
      <c r="B21" s="94" t="s">
        <v>83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</row>
    <row r="22" spans="2:15" ht="16" customHeight="1">
      <c r="B22" s="92" t="s">
        <v>57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</row>
    <row r="23" spans="2:15" ht="16" customHeight="1">
      <c r="B23" s="92" t="s">
        <v>58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</row>
    <row r="24" spans="2:15" ht="16" customHeight="1">
      <c r="B24" s="92" t="s">
        <v>60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</row>
    <row r="25" spans="2:15" ht="14" customHeight="1">
      <c r="B25" s="91" t="s">
        <v>61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</row>
    <row r="27" spans="2:15" ht="20" customHeight="1">
      <c r="B27" s="101" t="s">
        <v>84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</row>
    <row r="28" spans="2:15" ht="18" customHeight="1">
      <c r="B28" s="94" t="s">
        <v>85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</row>
    <row r="29" spans="2:15" ht="16" customHeight="1">
      <c r="B29" s="92" t="s">
        <v>86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</row>
    <row r="30" spans="2:15" ht="16" customHeight="1">
      <c r="B30" s="92" t="s">
        <v>87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</row>
    <row r="31" spans="2:15" ht="16" customHeight="1">
      <c r="B31" s="92" t="s">
        <v>88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</row>
    <row r="32" spans="2:15" ht="16" customHeight="1">
      <c r="B32" s="92" t="s">
        <v>57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</row>
    <row r="33" spans="2:15" ht="14" customHeight="1">
      <c r="B33" s="91" t="s">
        <v>61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</row>
    <row r="35" spans="2:15" ht="20" customHeight="1">
      <c r="B35" s="101" t="s">
        <v>89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</row>
    <row r="36" spans="2:15" ht="18" customHeight="1">
      <c r="B36" s="94" t="s">
        <v>90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</row>
    <row r="37" spans="2:15" ht="16" customHeight="1">
      <c r="B37" s="92" t="s">
        <v>91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</row>
    <row r="38" spans="2:15" ht="16" customHeight="1">
      <c r="B38" s="92" t="s">
        <v>92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</row>
    <row r="39" spans="2:15" ht="14" customHeight="1">
      <c r="B39" s="91" t="s">
        <v>61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</row>
    <row r="41" spans="2:15" ht="12" customHeight="1">
      <c r="B41" s="95" t="s">
        <v>69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</row>
  </sheetData>
  <mergeCells count="25">
    <mergeCell ref="B2:O2"/>
    <mergeCell ref="B23:O23"/>
    <mergeCell ref="D5:F5"/>
    <mergeCell ref="B38:O38"/>
    <mergeCell ref="B29:O29"/>
    <mergeCell ref="B19:O19"/>
    <mergeCell ref="B37:O37"/>
    <mergeCell ref="B28:O28"/>
    <mergeCell ref="J5:L5"/>
    <mergeCell ref="B24:O24"/>
    <mergeCell ref="B30:O30"/>
    <mergeCell ref="B33:O33"/>
    <mergeCell ref="B20:O20"/>
    <mergeCell ref="B36:O36"/>
    <mergeCell ref="B32:O32"/>
    <mergeCell ref="B41:O41"/>
    <mergeCell ref="B35:O35"/>
    <mergeCell ref="B25:O25"/>
    <mergeCell ref="B3:O3"/>
    <mergeCell ref="B31:O31"/>
    <mergeCell ref="B22:O22"/>
    <mergeCell ref="B27:O27"/>
    <mergeCell ref="B21:O21"/>
    <mergeCell ref="G5:I5"/>
    <mergeCell ref="B39:O3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41"/>
  <sheetViews>
    <sheetView showGridLines="0" zoomScale="85" zoomScaleNormal="85" workbookViewId="0"/>
  </sheetViews>
  <sheetFormatPr defaultRowHeight="14.75"/>
  <cols>
    <col min="1" max="1" width="3" customWidth="1"/>
    <col min="2" max="2" width="5" customWidth="1"/>
    <col min="3" max="3" width="99.453125" bestFit="1" customWidth="1"/>
    <col min="4" max="4" width="17" customWidth="1"/>
    <col min="5" max="6" width="10" customWidth="1"/>
    <col min="7" max="7" width="17" customWidth="1"/>
    <col min="8" max="9" width="10" customWidth="1"/>
    <col min="10" max="10" width="17" customWidth="1"/>
    <col min="11" max="12" width="10" customWidth="1"/>
    <col min="13" max="14" width="17" customWidth="1"/>
    <col min="15" max="15" width="10" customWidth="1"/>
    <col min="16" max="16" width="3" customWidth="1"/>
  </cols>
  <sheetData>
    <row r="1" spans="2:15" ht="8" customHeight="1"/>
    <row r="2" spans="2:15" ht="38" customHeight="1">
      <c r="B2" s="105" t="s">
        <v>93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2:15" ht="15" customHeight="1">
      <c r="B3" s="93" t="s">
        <v>28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2:15" ht="8" customHeight="1"/>
    <row r="5" spans="2:15" ht="18" customHeight="1">
      <c r="B5" s="59"/>
      <c r="C5" s="59"/>
      <c r="D5" s="96" t="s">
        <v>29</v>
      </c>
      <c r="E5" s="97"/>
      <c r="F5" s="97"/>
      <c r="G5" s="96" t="s">
        <v>30</v>
      </c>
      <c r="H5" s="97"/>
      <c r="I5" s="97"/>
      <c r="J5" s="96" t="s">
        <v>31</v>
      </c>
      <c r="K5" s="97"/>
      <c r="L5" s="97"/>
      <c r="M5" s="1" t="s">
        <v>32</v>
      </c>
      <c r="N5" s="1" t="s">
        <v>33</v>
      </c>
      <c r="O5" s="1" t="s">
        <v>34</v>
      </c>
    </row>
    <row r="6" spans="2:15" ht="22" customHeight="1">
      <c r="B6" s="60" t="s">
        <v>35</v>
      </c>
      <c r="C6" s="61" t="s">
        <v>36</v>
      </c>
      <c r="D6" s="20" t="s">
        <v>37</v>
      </c>
      <c r="E6" s="20" t="s">
        <v>38</v>
      </c>
      <c r="F6" s="20" t="s">
        <v>39</v>
      </c>
      <c r="G6" s="20" t="s">
        <v>37</v>
      </c>
      <c r="H6" s="20" t="s">
        <v>38</v>
      </c>
      <c r="I6" s="20" t="s">
        <v>39</v>
      </c>
      <c r="J6" s="20" t="s">
        <v>37</v>
      </c>
      <c r="K6" s="20" t="s">
        <v>38</v>
      </c>
      <c r="L6" s="20" t="s">
        <v>39</v>
      </c>
      <c r="M6" s="20" t="s">
        <v>40</v>
      </c>
      <c r="N6" s="20" t="s">
        <v>41</v>
      </c>
      <c r="O6" s="20" t="s">
        <v>42</v>
      </c>
    </row>
    <row r="7" spans="2:15" ht="22" customHeight="1">
      <c r="B7" s="21">
        <v>1</v>
      </c>
      <c r="C7" s="62" t="s">
        <v>94</v>
      </c>
      <c r="D7" s="63">
        <v>2090463113.6199999</v>
      </c>
      <c r="E7" s="64">
        <v>1.12273659409223E-2</v>
      </c>
      <c r="F7" s="64">
        <v>1.0270908918547741</v>
      </c>
      <c r="G7" s="65">
        <v>4965043060.3299999</v>
      </c>
      <c r="H7" s="66">
        <v>0.15050246915786539</v>
      </c>
      <c r="I7" s="66">
        <v>1.0286804524170361</v>
      </c>
      <c r="J7" s="65">
        <v>4849242741.7399998</v>
      </c>
      <c r="K7" s="66">
        <v>9.5638213684321002E-2</v>
      </c>
      <c r="L7" s="66">
        <v>1.025726483484301</v>
      </c>
      <c r="M7" s="65">
        <v>5153484582.5500002</v>
      </c>
      <c r="N7" s="67">
        <v>42379558.770000003</v>
      </c>
      <c r="O7" s="68" t="s">
        <v>23</v>
      </c>
    </row>
    <row r="8" spans="2:15" ht="22" customHeight="1">
      <c r="B8" s="29">
        <v>2</v>
      </c>
      <c r="C8" s="62" t="s">
        <v>95</v>
      </c>
      <c r="D8" s="65">
        <v>2086454330.23</v>
      </c>
      <c r="E8" s="64">
        <v>1.1857091527742201E-2</v>
      </c>
      <c r="F8" s="64">
        <v>1.0846988310627741</v>
      </c>
      <c r="G8" s="65">
        <v>4949518318.0100002</v>
      </c>
      <c r="H8" s="66">
        <v>0.15968576256756231</v>
      </c>
      <c r="I8" s="66">
        <v>1.091448023422509</v>
      </c>
      <c r="J8" s="65">
        <v>4834078004.04</v>
      </c>
      <c r="K8" s="66">
        <v>0.1013502306926812</v>
      </c>
      <c r="L8" s="66">
        <v>1.086988262577403</v>
      </c>
      <c r="M8" s="65">
        <v>5148507711.6899996</v>
      </c>
      <c r="N8" s="67">
        <v>46388342.159999996</v>
      </c>
      <c r="O8" s="68" t="s">
        <v>18</v>
      </c>
    </row>
    <row r="9" spans="2:15" ht="22" customHeight="1">
      <c r="B9" s="32">
        <v>3</v>
      </c>
      <c r="C9" s="62" t="s">
        <v>96</v>
      </c>
      <c r="D9" s="65">
        <v>545782133.42999995</v>
      </c>
      <c r="E9" s="64">
        <v>1.2211795377612101E-2</v>
      </c>
      <c r="F9" s="64">
        <v>1.1171475011626171</v>
      </c>
      <c r="G9" s="65">
        <v>4486440114.0100002</v>
      </c>
      <c r="H9" s="66">
        <v>0.14704911935696099</v>
      </c>
      <c r="I9" s="66">
        <v>1.005076896572231</v>
      </c>
      <c r="J9" s="65">
        <v>3368844481.23</v>
      </c>
      <c r="K9" s="66">
        <v>8.9137024601185999E-2</v>
      </c>
      <c r="L9" s="69">
        <v>0.95600077908415848</v>
      </c>
      <c r="M9" s="65">
        <v>5253325333.9300003</v>
      </c>
      <c r="N9" s="67">
        <v>159747327.15000001</v>
      </c>
      <c r="O9" s="68" t="s">
        <v>18</v>
      </c>
    </row>
    <row r="10" spans="2:15" ht="22" customHeight="1">
      <c r="B10" s="33">
        <v>4</v>
      </c>
      <c r="C10" s="8" t="s">
        <v>97</v>
      </c>
      <c r="D10" s="34">
        <v>482143590.51000011</v>
      </c>
      <c r="E10" s="35">
        <v>1.1215551546153999E-2</v>
      </c>
      <c r="F10" s="35">
        <v>1.0260100989668299</v>
      </c>
      <c r="G10" s="34">
        <v>7860392491.1899996</v>
      </c>
      <c r="H10" s="35">
        <v>0.14912731346889571</v>
      </c>
      <c r="I10" s="35">
        <v>1.019281299139428</v>
      </c>
      <c r="J10" s="34">
        <v>7357496337.29</v>
      </c>
      <c r="K10" s="35">
        <v>9.5385785392106001E-2</v>
      </c>
      <c r="L10" s="35">
        <v>1.0230191725200839</v>
      </c>
      <c r="M10" s="34">
        <v>31467458940.209999</v>
      </c>
      <c r="N10" s="37">
        <v>624653827.64999998</v>
      </c>
      <c r="O10" s="11" t="s">
        <v>18</v>
      </c>
    </row>
    <row r="11" spans="2:15" ht="22" customHeight="1">
      <c r="B11" s="33">
        <v>5</v>
      </c>
      <c r="C11" s="3" t="s">
        <v>98</v>
      </c>
      <c r="D11" s="38">
        <v>482143590.51000011</v>
      </c>
      <c r="E11" s="39">
        <v>1.0983490485190799E-2</v>
      </c>
      <c r="F11" s="39">
        <v>1.004780916331862</v>
      </c>
      <c r="G11" s="38">
        <v>7987714291.0200005</v>
      </c>
      <c r="H11" s="39">
        <v>0.14595927926769139</v>
      </c>
      <c r="I11" s="40">
        <v>0.99762786797911152</v>
      </c>
      <c r="J11" s="38">
        <v>7484123134.0699997</v>
      </c>
      <c r="K11" s="39">
        <v>9.3396963301122002E-2</v>
      </c>
      <c r="L11" s="39">
        <v>1.001688917477948</v>
      </c>
      <c r="M11" s="38">
        <v>31524341911.529999</v>
      </c>
      <c r="N11" s="41">
        <v>624653827.64999998</v>
      </c>
      <c r="O11" s="6" t="s">
        <v>18</v>
      </c>
    </row>
    <row r="12" spans="2:15" ht="22" customHeight="1">
      <c r="B12" s="33">
        <v>6</v>
      </c>
      <c r="C12" s="8" t="s">
        <v>99</v>
      </c>
      <c r="D12" s="34">
        <v>396477894.36000001</v>
      </c>
      <c r="E12" s="35">
        <v>1.1114116925552401E-2</v>
      </c>
      <c r="F12" s="35">
        <v>1.0167307563777619</v>
      </c>
      <c r="G12" s="34">
        <v>7206225795.6400003</v>
      </c>
      <c r="H12" s="35">
        <v>0.14004604030243201</v>
      </c>
      <c r="I12" s="36">
        <v>0.95721103383632644</v>
      </c>
      <c r="J12" s="34">
        <v>5289604540.2700005</v>
      </c>
      <c r="K12" s="35">
        <v>8.7291131374576697E-2</v>
      </c>
      <c r="L12" s="36">
        <v>0.93620344603832129</v>
      </c>
      <c r="M12" s="34">
        <v>7878749548.4499998</v>
      </c>
      <c r="N12" s="37">
        <v>131381339.77</v>
      </c>
      <c r="O12" s="11" t="s">
        <v>18</v>
      </c>
    </row>
    <row r="13" spans="2:15" ht="22" customHeight="1">
      <c r="B13" s="33">
        <v>7</v>
      </c>
      <c r="C13" s="3" t="s">
        <v>100</v>
      </c>
      <c r="D13" s="38">
        <v>231163229.11000001</v>
      </c>
      <c r="E13" s="39">
        <v>1.03270614051262E-2</v>
      </c>
      <c r="F13" s="40">
        <v>0.94473011431555443</v>
      </c>
      <c r="G13" s="38">
        <v>720368994.99000001</v>
      </c>
      <c r="H13" s="39">
        <v>0.15363623795052031</v>
      </c>
      <c r="I13" s="39">
        <v>1.05009968040337</v>
      </c>
      <c r="J13" s="38">
        <v>712762769.59000003</v>
      </c>
      <c r="K13" s="39">
        <v>9.9536736220852795E-2</v>
      </c>
      <c r="L13" s="39">
        <v>1.0675384084265651</v>
      </c>
      <c r="M13" s="38">
        <v>827891692.86000001</v>
      </c>
      <c r="N13" s="41">
        <v>5836556.2800000003</v>
      </c>
      <c r="O13" s="6" t="s">
        <v>18</v>
      </c>
    </row>
    <row r="14" spans="2:15" ht="22" customHeight="1">
      <c r="B14" s="33">
        <v>8</v>
      </c>
      <c r="C14" s="8" t="s">
        <v>101</v>
      </c>
      <c r="D14" s="34">
        <v>230637960.36000001</v>
      </c>
      <c r="E14" s="35">
        <v>1.13857999509512E-2</v>
      </c>
      <c r="F14" s="35">
        <v>1.0415845967466399</v>
      </c>
      <c r="G14" s="34">
        <v>717283665.04999995</v>
      </c>
      <c r="H14" s="35">
        <v>0.16852942203761459</v>
      </c>
      <c r="I14" s="35">
        <v>1.151894205306297</v>
      </c>
      <c r="J14" s="34">
        <v>710103881.82000005</v>
      </c>
      <c r="K14" s="35">
        <v>0.1088393383991095</v>
      </c>
      <c r="L14" s="35">
        <v>1.1673094628196581</v>
      </c>
      <c r="M14" s="34">
        <v>826799821.97000003</v>
      </c>
      <c r="N14" s="37">
        <v>5836773.9900000002</v>
      </c>
      <c r="O14" s="11" t="s">
        <v>18</v>
      </c>
    </row>
    <row r="15" spans="2:15" ht="22" customHeight="1">
      <c r="B15" s="33">
        <v>9</v>
      </c>
      <c r="C15" s="3" t="s">
        <v>102</v>
      </c>
      <c r="D15" s="38">
        <v>203052979.44999999</v>
      </c>
      <c r="E15" s="39">
        <v>1.10747470114605E-2</v>
      </c>
      <c r="F15" s="39">
        <v>1.013129156466468</v>
      </c>
      <c r="G15" s="38">
        <v>805149714.91999996</v>
      </c>
      <c r="H15" s="70"/>
      <c r="I15" s="40"/>
      <c r="J15" s="38">
        <v>805149714.91999996</v>
      </c>
      <c r="K15" s="70"/>
      <c r="L15" s="40"/>
      <c r="M15" s="38">
        <v>839683156.78999996</v>
      </c>
      <c r="N15" s="41">
        <v>19419338.859999999</v>
      </c>
      <c r="O15" s="6" t="s">
        <v>18</v>
      </c>
    </row>
    <row r="16" spans="2:15" ht="22" customHeight="1">
      <c r="B16" s="33">
        <v>10</v>
      </c>
      <c r="C16" s="8" t="s">
        <v>103</v>
      </c>
      <c r="D16" s="34">
        <v>171600191.59</v>
      </c>
      <c r="E16" s="35">
        <v>1.15088861367114E-2</v>
      </c>
      <c r="F16" s="35">
        <v>1.0528446466080821</v>
      </c>
      <c r="G16" s="34">
        <v>6142291158.46</v>
      </c>
      <c r="H16" s="35">
        <v>0.14372084106427249</v>
      </c>
      <c r="I16" s="36">
        <v>0.98232820122490527</v>
      </c>
      <c r="J16" s="34">
        <v>4347761283.4399996</v>
      </c>
      <c r="K16" s="35">
        <v>8.8153562337995803E-2</v>
      </c>
      <c r="L16" s="36">
        <v>0.94545307801362943</v>
      </c>
      <c r="M16" s="34">
        <v>7149710308</v>
      </c>
      <c r="N16" s="37">
        <v>414622615.47000003</v>
      </c>
      <c r="O16" s="11" t="s">
        <v>18</v>
      </c>
    </row>
    <row r="17" spans="2:15" ht="22" customHeight="1">
      <c r="B17" s="42" t="s">
        <v>52</v>
      </c>
      <c r="C17" s="43" t="s">
        <v>53</v>
      </c>
      <c r="D17" s="44">
        <f>SUM(D7:D16)</f>
        <v>6919919013.1699991</v>
      </c>
      <c r="E17" s="45"/>
      <c r="F17" s="45"/>
      <c r="G17" s="44">
        <f>SUM(G7:G16)</f>
        <v>45840427603.620003</v>
      </c>
      <c r="H17" s="45"/>
      <c r="I17" s="45"/>
      <c r="J17" s="44">
        <f>SUM(J7:J16)</f>
        <v>39759166888.410004</v>
      </c>
      <c r="K17" s="45"/>
      <c r="L17" s="45"/>
      <c r="M17" s="44">
        <f>SUM(M7:M16)</f>
        <v>96069953007.979996</v>
      </c>
      <c r="N17" s="44">
        <f>SUM(N7:N16)</f>
        <v>2074919507.75</v>
      </c>
      <c r="O17" s="45"/>
    </row>
    <row r="19" spans="2:15" ht="22" customHeight="1">
      <c r="B19" s="106" t="s">
        <v>54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2:15" ht="20" customHeight="1">
      <c r="B20" s="104" t="s">
        <v>104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</row>
    <row r="21" spans="2:15" ht="18" customHeight="1">
      <c r="B21" s="94" t="s">
        <v>68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</row>
    <row r="22" spans="2:15" ht="16" customHeight="1">
      <c r="B22" s="92" t="s">
        <v>57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</row>
    <row r="23" spans="2:15" ht="16" customHeight="1">
      <c r="B23" s="92" t="s">
        <v>58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</row>
    <row r="24" spans="2:15" ht="16" customHeight="1">
      <c r="B24" s="92" t="s">
        <v>60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</row>
    <row r="25" spans="2:15" ht="14" customHeight="1">
      <c r="B25" s="91" t="s">
        <v>61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</row>
    <row r="27" spans="2:15" ht="20" customHeight="1">
      <c r="B27" s="104" t="s">
        <v>105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</row>
    <row r="28" spans="2:15" ht="18" customHeight="1">
      <c r="B28" s="94" t="s">
        <v>68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</row>
    <row r="29" spans="2:15" ht="16" customHeight="1">
      <c r="B29" s="92" t="s">
        <v>57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</row>
    <row r="30" spans="2:15" ht="16" customHeight="1">
      <c r="B30" s="92" t="s">
        <v>58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</row>
    <row r="31" spans="2:15" ht="16" customHeight="1">
      <c r="B31" s="92" t="s">
        <v>60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</row>
    <row r="32" spans="2:15" ht="14" customHeight="1">
      <c r="B32" s="91" t="s">
        <v>61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</row>
    <row r="34" spans="2:15" ht="20" customHeight="1">
      <c r="B34" s="104" t="s">
        <v>106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</row>
    <row r="35" spans="2:15" ht="18" customHeight="1">
      <c r="B35" s="94" t="s">
        <v>68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</row>
    <row r="36" spans="2:15" ht="16" customHeight="1">
      <c r="B36" s="92" t="s">
        <v>57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</row>
    <row r="37" spans="2:15" ht="16" customHeight="1">
      <c r="B37" s="92" t="s">
        <v>58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</row>
    <row r="38" spans="2:15" ht="16" customHeight="1">
      <c r="B38" s="92" t="s">
        <v>60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</row>
    <row r="39" spans="2:15" ht="14" customHeight="1">
      <c r="B39" s="91" t="s">
        <v>61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</row>
    <row r="41" spans="2:15" ht="12" customHeight="1">
      <c r="B41" s="95" t="s">
        <v>69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</row>
  </sheetData>
  <mergeCells count="25">
    <mergeCell ref="B2:O2"/>
    <mergeCell ref="B23:O23"/>
    <mergeCell ref="D5:F5"/>
    <mergeCell ref="B38:O38"/>
    <mergeCell ref="B29:O29"/>
    <mergeCell ref="B19:O19"/>
    <mergeCell ref="B34:O34"/>
    <mergeCell ref="B37:O37"/>
    <mergeCell ref="B28:O28"/>
    <mergeCell ref="J5:L5"/>
    <mergeCell ref="B24:O24"/>
    <mergeCell ref="B30:O30"/>
    <mergeCell ref="B20:O20"/>
    <mergeCell ref="B36:O36"/>
    <mergeCell ref="B32:O32"/>
    <mergeCell ref="B41:O41"/>
    <mergeCell ref="B35:O35"/>
    <mergeCell ref="B25:O25"/>
    <mergeCell ref="B3:O3"/>
    <mergeCell ref="B31:O31"/>
    <mergeCell ref="B22:O22"/>
    <mergeCell ref="B27:O27"/>
    <mergeCell ref="B21:O21"/>
    <mergeCell ref="G5:I5"/>
    <mergeCell ref="B39:O3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44"/>
  <sheetViews>
    <sheetView showGridLines="0" tabSelected="1" workbookViewId="0"/>
  </sheetViews>
  <sheetFormatPr defaultRowHeight="14.75"/>
  <cols>
    <col min="1" max="1" width="3" customWidth="1"/>
    <col min="2" max="2" width="5" customWidth="1"/>
    <col min="3" max="3" width="52.953125" bestFit="1" customWidth="1"/>
    <col min="4" max="4" width="17" customWidth="1"/>
    <col min="5" max="6" width="10" customWidth="1"/>
    <col min="7" max="7" width="17" customWidth="1"/>
    <col min="8" max="9" width="10" customWidth="1"/>
    <col min="10" max="10" width="17" customWidth="1"/>
    <col min="11" max="12" width="10" customWidth="1"/>
    <col min="13" max="14" width="17" customWidth="1"/>
    <col min="15" max="15" width="10" customWidth="1"/>
    <col min="16" max="16" width="3" customWidth="1"/>
  </cols>
  <sheetData>
    <row r="1" spans="2:15" ht="8" customHeight="1"/>
    <row r="2" spans="2:15" ht="38" customHeight="1">
      <c r="B2" s="107" t="s">
        <v>107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2:15" ht="15" customHeight="1">
      <c r="B3" s="93" t="s">
        <v>28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2:15" ht="8" customHeight="1"/>
    <row r="5" spans="2:15" ht="18" customHeight="1">
      <c r="B5" s="71"/>
      <c r="C5" s="71"/>
      <c r="D5" s="96" t="s">
        <v>29</v>
      </c>
      <c r="E5" s="97"/>
      <c r="F5" s="97"/>
      <c r="G5" s="96" t="s">
        <v>30</v>
      </c>
      <c r="H5" s="97"/>
      <c r="I5" s="97"/>
      <c r="J5" s="96" t="s">
        <v>31</v>
      </c>
      <c r="K5" s="97"/>
      <c r="L5" s="97"/>
      <c r="M5" s="1" t="s">
        <v>32</v>
      </c>
      <c r="N5" s="1" t="s">
        <v>33</v>
      </c>
      <c r="O5" s="1" t="s">
        <v>34</v>
      </c>
    </row>
    <row r="6" spans="2:15" ht="22" customHeight="1">
      <c r="B6" s="72" t="s">
        <v>35</v>
      </c>
      <c r="C6" s="73" t="s">
        <v>36</v>
      </c>
      <c r="D6" s="20" t="s">
        <v>37</v>
      </c>
      <c r="E6" s="20" t="s">
        <v>38</v>
      </c>
      <c r="F6" s="20" t="s">
        <v>39</v>
      </c>
      <c r="G6" s="20" t="s">
        <v>37</v>
      </c>
      <c r="H6" s="20" t="s">
        <v>38</v>
      </c>
      <c r="I6" s="20" t="s">
        <v>39</v>
      </c>
      <c r="J6" s="20" t="s">
        <v>37</v>
      </c>
      <c r="K6" s="20" t="s">
        <v>38</v>
      </c>
      <c r="L6" s="20" t="s">
        <v>39</v>
      </c>
      <c r="M6" s="20" t="s">
        <v>40</v>
      </c>
      <c r="N6" s="20" t="s">
        <v>41</v>
      </c>
      <c r="O6" s="20" t="s">
        <v>42</v>
      </c>
    </row>
    <row r="7" spans="2:15" ht="22" customHeight="1">
      <c r="B7" s="21">
        <v>1</v>
      </c>
      <c r="C7" s="74" t="s">
        <v>25</v>
      </c>
      <c r="D7" s="75">
        <v>490832296.50999999</v>
      </c>
      <c r="E7" s="76">
        <v>1.05736374614642E-2</v>
      </c>
      <c r="F7" s="77">
        <v>0.96728714353744383</v>
      </c>
      <c r="G7" s="78">
        <v>9979691935.9699993</v>
      </c>
      <c r="H7" s="79">
        <v>0.14153164178617469</v>
      </c>
      <c r="I7" s="80">
        <v>0.96736508124138842</v>
      </c>
      <c r="J7" s="78">
        <v>6396292232.8199997</v>
      </c>
      <c r="K7" s="79">
        <v>9.0533309692910999E-2</v>
      </c>
      <c r="L7" s="80">
        <v>0.97097603365974072</v>
      </c>
      <c r="M7" s="78">
        <v>83402034450.860001</v>
      </c>
      <c r="N7" s="81">
        <v>19833105.68</v>
      </c>
      <c r="O7" s="82" t="s">
        <v>18</v>
      </c>
    </row>
    <row r="8" spans="2:15" ht="22" customHeight="1">
      <c r="B8" s="29">
        <v>2</v>
      </c>
      <c r="C8" s="74" t="s">
        <v>108</v>
      </c>
      <c r="D8" s="78">
        <v>129418026.91</v>
      </c>
      <c r="E8" s="76">
        <v>1.07358740559397E-2</v>
      </c>
      <c r="F8" s="77">
        <v>0.98212871273436209</v>
      </c>
      <c r="G8" s="78">
        <v>866634110.89999998</v>
      </c>
      <c r="H8" s="79">
        <v>0.14340132531571831</v>
      </c>
      <c r="I8" s="80">
        <v>0.98014431941475155</v>
      </c>
      <c r="J8" s="78">
        <v>810295765.90999997</v>
      </c>
      <c r="K8" s="79">
        <v>9.1510613029858606E-2</v>
      </c>
      <c r="L8" s="80">
        <v>0.98145767981860321</v>
      </c>
      <c r="M8" s="78">
        <v>937894203.66999996</v>
      </c>
      <c r="N8" s="81">
        <v>1029817.03</v>
      </c>
      <c r="O8" s="82" t="s">
        <v>18</v>
      </c>
    </row>
    <row r="9" spans="2:15" ht="22" customHeight="1">
      <c r="B9" s="32">
        <v>3</v>
      </c>
      <c r="C9" s="74" t="s">
        <v>109</v>
      </c>
      <c r="D9" s="78">
        <v>95706164.840000004</v>
      </c>
      <c r="E9" s="76">
        <v>1.08462875726758E-2</v>
      </c>
      <c r="F9" s="77">
        <v>0.9922294539032197</v>
      </c>
      <c r="G9" s="78">
        <v>329178539.37</v>
      </c>
      <c r="H9" s="83"/>
      <c r="I9" s="80"/>
      <c r="J9" s="78">
        <v>329178539.37</v>
      </c>
      <c r="K9" s="83"/>
      <c r="L9" s="80"/>
      <c r="M9" s="78">
        <v>335961200.85000002</v>
      </c>
      <c r="N9" s="81">
        <v>230605.73</v>
      </c>
      <c r="O9" s="82" t="s">
        <v>23</v>
      </c>
    </row>
    <row r="10" spans="2:15" ht="22" customHeight="1">
      <c r="B10" s="33">
        <v>4</v>
      </c>
      <c r="C10" s="8" t="s">
        <v>110</v>
      </c>
      <c r="D10" s="34">
        <v>88736733.150000006</v>
      </c>
      <c r="E10" s="35">
        <v>1.0846855622919699E-2</v>
      </c>
      <c r="F10" s="36">
        <v>0.99228141971912831</v>
      </c>
      <c r="G10" s="34">
        <v>1122821798.6400001</v>
      </c>
      <c r="H10" s="58"/>
      <c r="I10" s="36"/>
      <c r="J10" s="34">
        <v>950127898.11000001</v>
      </c>
      <c r="K10" s="35">
        <v>9.2447114208356704E-2</v>
      </c>
      <c r="L10" s="36">
        <v>0.99150171999453596</v>
      </c>
      <c r="M10" s="34">
        <v>1170220474.8199999</v>
      </c>
      <c r="N10" s="37">
        <v>23660322.82</v>
      </c>
      <c r="O10" s="11" t="s">
        <v>18</v>
      </c>
    </row>
    <row r="11" spans="2:15" ht="22" customHeight="1">
      <c r="B11" s="33">
        <v>5</v>
      </c>
      <c r="C11" s="3" t="s">
        <v>111</v>
      </c>
      <c r="D11" s="38">
        <v>53009158.329999998</v>
      </c>
      <c r="E11" s="39">
        <v>1.11272379818299E-2</v>
      </c>
      <c r="F11" s="39">
        <v>1.0179310839937901</v>
      </c>
      <c r="G11" s="38">
        <v>332390543.48000002</v>
      </c>
      <c r="H11" s="70"/>
      <c r="I11" s="40"/>
      <c r="J11" s="38">
        <v>280782279.76999998</v>
      </c>
      <c r="K11" s="39">
        <v>9.1332525333976206E-2</v>
      </c>
      <c r="L11" s="40">
        <v>0.97954767691273315</v>
      </c>
      <c r="M11" s="38">
        <v>355222351.58999997</v>
      </c>
      <c r="N11" s="41">
        <v>7882461.75</v>
      </c>
      <c r="O11" s="6" t="s">
        <v>18</v>
      </c>
    </row>
    <row r="12" spans="2:15" ht="22" customHeight="1">
      <c r="B12" s="33">
        <v>6</v>
      </c>
      <c r="C12" s="8" t="s">
        <v>112</v>
      </c>
      <c r="D12" s="34">
        <v>52320683.439999998</v>
      </c>
      <c r="E12" s="35">
        <v>1.1543619205056799E-2</v>
      </c>
      <c r="F12" s="35">
        <v>1.05602206313939</v>
      </c>
      <c r="G12" s="34">
        <v>148783503.99000001</v>
      </c>
      <c r="H12" s="58"/>
      <c r="I12" s="36"/>
      <c r="J12" s="34">
        <v>123583503.98999999</v>
      </c>
      <c r="K12" s="35">
        <v>9.8500089869356405E-2</v>
      </c>
      <c r="L12" s="35">
        <v>1.056420304315514</v>
      </c>
      <c r="M12" s="34">
        <v>154947856.02000001</v>
      </c>
      <c r="N12" s="37">
        <v>0</v>
      </c>
      <c r="O12" s="11" t="s">
        <v>18</v>
      </c>
    </row>
    <row r="13" spans="2:15" ht="22" customHeight="1">
      <c r="B13" s="33">
        <v>7</v>
      </c>
      <c r="C13" s="3" t="s">
        <v>113</v>
      </c>
      <c r="D13" s="38">
        <v>35089709.049999997</v>
      </c>
      <c r="E13" s="39">
        <v>1.05858152521649E-2</v>
      </c>
      <c r="F13" s="40">
        <v>0.96840118025606658</v>
      </c>
      <c r="G13" s="38">
        <v>-86171652.669999987</v>
      </c>
      <c r="H13" s="39">
        <v>0.14150008212916881</v>
      </c>
      <c r="I13" s="40">
        <v>0.96714937180865557</v>
      </c>
      <c r="J13" s="38">
        <v>1107196168.6800001</v>
      </c>
      <c r="K13" s="39">
        <v>9.0315228691820695E-2</v>
      </c>
      <c r="L13" s="40">
        <v>0.96863709977812884</v>
      </c>
      <c r="M13" s="38">
        <v>25068100467.900002</v>
      </c>
      <c r="N13" s="41">
        <v>48953063.119999997</v>
      </c>
      <c r="O13" s="6" t="s">
        <v>18</v>
      </c>
    </row>
    <row r="14" spans="2:15" ht="22" customHeight="1">
      <c r="B14" s="33">
        <v>8</v>
      </c>
      <c r="C14" s="8" t="s">
        <v>114</v>
      </c>
      <c r="D14" s="34">
        <v>12447594.99</v>
      </c>
      <c r="E14" s="35">
        <v>1.09207336352592E-2</v>
      </c>
      <c r="F14" s="36">
        <v>0.99903985566764086</v>
      </c>
      <c r="G14" s="34">
        <v>35481870.32</v>
      </c>
      <c r="H14" s="58"/>
      <c r="I14" s="36"/>
      <c r="J14" s="34">
        <v>34270295.740000002</v>
      </c>
      <c r="K14" s="35">
        <v>9.1932841120924494E-2</v>
      </c>
      <c r="L14" s="36">
        <v>0.98598610541746301</v>
      </c>
      <c r="M14" s="34">
        <v>36515495.869999997</v>
      </c>
      <c r="N14" s="37">
        <v>14673</v>
      </c>
      <c r="O14" s="11" t="s">
        <v>18</v>
      </c>
    </row>
    <row r="15" spans="2:15" ht="22" customHeight="1">
      <c r="B15" s="33">
        <v>9</v>
      </c>
      <c r="C15" s="3" t="s">
        <v>115</v>
      </c>
      <c r="D15" s="38">
        <v>4334617.21</v>
      </c>
      <c r="E15" s="40">
        <v>-4.6536847327630001E-4</v>
      </c>
      <c r="F15" s="40">
        <v>-4.2572382763110067E-2</v>
      </c>
      <c r="G15" s="38">
        <v>87994167.719999999</v>
      </c>
      <c r="H15" s="39">
        <v>0.1176461162332836</v>
      </c>
      <c r="I15" s="40">
        <v>0.80410813689056815</v>
      </c>
      <c r="J15" s="38">
        <v>84363536.670000002</v>
      </c>
      <c r="K15" s="39">
        <v>5.7284291896642497E-2</v>
      </c>
      <c r="L15" s="40">
        <v>0.61437800877353854</v>
      </c>
      <c r="M15" s="38">
        <v>100267915.39</v>
      </c>
      <c r="N15" s="41">
        <v>4938603.87</v>
      </c>
      <c r="O15" s="6" t="s">
        <v>23</v>
      </c>
    </row>
    <row r="16" spans="2:15" ht="22" customHeight="1">
      <c r="B16" s="33">
        <v>10</v>
      </c>
      <c r="C16" s="8" t="s">
        <v>116</v>
      </c>
      <c r="D16" s="34">
        <v>489374.64</v>
      </c>
      <c r="E16" s="35">
        <v>1.09466619631901E-2</v>
      </c>
      <c r="F16" s="35">
        <v>1.0014118055621199</v>
      </c>
      <c r="G16" s="34">
        <v>-49202399.32</v>
      </c>
      <c r="H16" s="35">
        <v>0.1400639039407128</v>
      </c>
      <c r="I16" s="36">
        <v>0.9573331313381902</v>
      </c>
      <c r="J16" s="34">
        <v>-33150829.300000001</v>
      </c>
      <c r="K16" s="35">
        <v>8.9978680306527198E-2</v>
      </c>
      <c r="L16" s="36">
        <v>0.9650275949738164</v>
      </c>
      <c r="M16" s="34">
        <v>609811796.88999999</v>
      </c>
      <c r="N16" s="37">
        <v>108133.22</v>
      </c>
      <c r="O16" s="11" t="s">
        <v>23</v>
      </c>
    </row>
    <row r="17" spans="2:15" ht="22" customHeight="1">
      <c r="B17" s="42" t="s">
        <v>52</v>
      </c>
      <c r="C17" s="43" t="s">
        <v>53</v>
      </c>
      <c r="D17" s="44">
        <f>SUM(D7:D16)</f>
        <v>962384359.07000005</v>
      </c>
      <c r="E17" s="45"/>
      <c r="F17" s="45"/>
      <c r="G17" s="44">
        <f>SUM(G7:G16)</f>
        <v>12767602418.399998</v>
      </c>
      <c r="H17" s="45"/>
      <c r="I17" s="45"/>
      <c r="J17" s="44">
        <f>SUM(J7:J16)</f>
        <v>10082939391.76</v>
      </c>
      <c r="K17" s="45"/>
      <c r="L17" s="45"/>
      <c r="M17" s="44">
        <f>SUM(M7:M16)</f>
        <v>112170976213.86002</v>
      </c>
      <c r="N17" s="44">
        <f>SUM(N7:N16)</f>
        <v>106650786.22</v>
      </c>
      <c r="O17" s="45"/>
    </row>
    <row r="19" spans="2:15" ht="22" customHeight="1">
      <c r="B19" s="108" t="s">
        <v>54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2:15" ht="20" customHeight="1">
      <c r="B20" s="109" t="s">
        <v>117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</row>
    <row r="21" spans="2:15" ht="18" customHeight="1">
      <c r="B21" s="94" t="s">
        <v>118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</row>
    <row r="22" spans="2:15" ht="16" customHeight="1">
      <c r="B22" s="92" t="s">
        <v>86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</row>
    <row r="23" spans="2:15" ht="16" customHeight="1">
      <c r="B23" s="92" t="s">
        <v>87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</row>
    <row r="24" spans="2:15" ht="16" customHeight="1">
      <c r="B24" s="92" t="s">
        <v>88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</row>
    <row r="25" spans="2:15" ht="16" customHeight="1">
      <c r="B25" s="92" t="s">
        <v>57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</row>
    <row r="26" spans="2:15" ht="14" customHeight="1">
      <c r="B26" s="91" t="s">
        <v>61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</row>
    <row r="28" spans="2:15" ht="20" customHeight="1">
      <c r="B28" s="109" t="s">
        <v>119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</row>
    <row r="29" spans="2:15" ht="18" customHeight="1">
      <c r="B29" s="94" t="s">
        <v>120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</row>
    <row r="30" spans="2:15" ht="16" customHeight="1">
      <c r="B30" s="92" t="s">
        <v>64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</row>
    <row r="31" spans="2:15" ht="16" customHeight="1">
      <c r="B31" s="92" t="s">
        <v>58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</row>
    <row r="32" spans="2:15" ht="16" customHeight="1">
      <c r="B32" s="92" t="s">
        <v>65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</row>
    <row r="33" spans="2:15" ht="16" customHeight="1">
      <c r="B33" s="92" t="s">
        <v>66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</row>
    <row r="34" spans="2:15" ht="14" customHeight="1">
      <c r="B34" s="91" t="s">
        <v>61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</row>
    <row r="36" spans="2:15" ht="20" customHeight="1">
      <c r="B36" s="109" t="s">
        <v>121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</row>
    <row r="37" spans="2:15" ht="18" customHeight="1">
      <c r="B37" s="94" t="s">
        <v>120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</row>
    <row r="38" spans="2:15" ht="16" customHeight="1">
      <c r="B38" s="92" t="s">
        <v>64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</row>
    <row r="39" spans="2:15" ht="16" customHeight="1">
      <c r="B39" s="92" t="s">
        <v>58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</row>
    <row r="40" spans="2:15" ht="16" customHeight="1">
      <c r="B40" s="92" t="s">
        <v>65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</row>
    <row r="41" spans="2:15" ht="16" customHeight="1">
      <c r="B41" s="92" t="s">
        <v>66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</row>
    <row r="42" spans="2:15" ht="14" customHeight="1">
      <c r="B42" s="91" t="s">
        <v>61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</row>
    <row r="44" spans="2:15" ht="12" customHeight="1">
      <c r="B44" s="95" t="s">
        <v>69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</row>
  </sheetData>
  <mergeCells count="28">
    <mergeCell ref="B2:O2"/>
    <mergeCell ref="B42:O42"/>
    <mergeCell ref="B23:O23"/>
    <mergeCell ref="B44:O44"/>
    <mergeCell ref="D5:F5"/>
    <mergeCell ref="B38:O38"/>
    <mergeCell ref="B29:O29"/>
    <mergeCell ref="B19:O19"/>
    <mergeCell ref="B34:O34"/>
    <mergeCell ref="B37:O37"/>
    <mergeCell ref="B28:O28"/>
    <mergeCell ref="B40:O40"/>
    <mergeCell ref="J5:L5"/>
    <mergeCell ref="B24:O24"/>
    <mergeCell ref="B30:O30"/>
    <mergeCell ref="B33:O33"/>
    <mergeCell ref="B26:O26"/>
    <mergeCell ref="B41:O41"/>
    <mergeCell ref="B25:O25"/>
    <mergeCell ref="B3:O3"/>
    <mergeCell ref="B31:O31"/>
    <mergeCell ref="B22:O22"/>
    <mergeCell ref="B21:O21"/>
    <mergeCell ref="G5:I5"/>
    <mergeCell ref="B39:O39"/>
    <mergeCell ref="B20:O20"/>
    <mergeCell ref="B36:O36"/>
    <mergeCell ref="B32:O32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9B3E74B8F57042982E3E9D39FC0152" ma:contentTypeVersion="14" ma:contentTypeDescription="Crie um novo documento." ma:contentTypeScope="" ma:versionID="3fd0dc2c73f6478acced112ab3406c62">
  <xsd:schema xmlns:xsd="http://www.w3.org/2001/XMLSchema" xmlns:xs="http://www.w3.org/2001/XMLSchema" xmlns:p="http://schemas.microsoft.com/office/2006/metadata/properties" xmlns:ns2="e1c0b7a1-8647-479a-bc8f-582142d8bc0f" xmlns:ns3="9a684d71-d6fd-4deb-80ab-4273818deab9" targetNamespace="http://schemas.microsoft.com/office/2006/metadata/properties" ma:root="true" ma:fieldsID="73d7f55b3be2760303eeb4385bcb2cf7" ns2:_="" ns3:_="">
    <xsd:import namespace="e1c0b7a1-8647-479a-bc8f-582142d8bc0f"/>
    <xsd:import namespace="9a684d71-d6fd-4deb-80ab-4273818dea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0b7a1-8647-479a-bc8f-582142d8b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e30347-7a5e-4e48-9fe7-ea4e92c09b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84d71-d6fd-4deb-80ab-4273818dea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b44a9ff-42ad-4979-a12e-387190d0cadf}" ma:internalName="TaxCatchAll" ma:showField="CatchAllData" ma:web="9a684d71-d6fd-4deb-80ab-4273818de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c0b7a1-8647-479a-bc8f-582142d8bc0f">
      <Terms xmlns="http://schemas.microsoft.com/office/infopath/2007/PartnerControls"/>
    </lcf76f155ced4ddcb4097134ff3c332f>
    <TaxCatchAll xmlns="9a684d71-d6fd-4deb-80ab-4273818deab9" xsi:nil="true"/>
  </documentManagement>
</p:properties>
</file>

<file path=customXml/itemProps1.xml><?xml version="1.0" encoding="utf-8"?>
<ds:datastoreItem xmlns:ds="http://schemas.openxmlformats.org/officeDocument/2006/customXml" ds:itemID="{7CCE8051-8485-400C-8D64-A0100D95038E}"/>
</file>

<file path=customXml/itemProps2.xml><?xml version="1.0" encoding="utf-8"?>
<ds:datastoreItem xmlns:ds="http://schemas.openxmlformats.org/officeDocument/2006/customXml" ds:itemID="{77DF2359-EE4F-4B83-B64C-35BD57F82A95}"/>
</file>

<file path=customXml/itemProps3.xml><?xml version="1.0" encoding="utf-8"?>
<ds:datastoreItem xmlns:ds="http://schemas.openxmlformats.org/officeDocument/2006/customXml" ds:itemID="{5F1FFFF4-73F9-47DA-A1B3-C6DEC6AF8089}"/>
</file>

<file path=docMetadata/LabelInfo.xml><?xml version="1.0" encoding="utf-8"?>
<clbl:labelList xmlns:clbl="http://schemas.microsoft.com/office/2020/mipLabelMetadata">
  <clbl:label id="{1b68a0e7-8c4a-4119-a9fe-c55d0d05c305}" enabled="1" method="Standard" siteId="{28bfc1cb-5aa5-436f-9b59-4bbea6096a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XP</vt:lpstr>
      <vt:lpstr>BTG</vt:lpstr>
      <vt:lpstr>Itaú</vt:lpstr>
      <vt:lpstr>Bradesco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Oka</cp:lastModifiedBy>
  <dcterms:created xsi:type="dcterms:W3CDTF">2026-09-11T14:08:13Z</dcterms:created>
  <dcterms:modified xsi:type="dcterms:W3CDTF">2026-09-11T14:31:32Z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0x010100CF9B3E74B8F57042982E3E9D39FC0152</vt:lpwstr>
  </property>
</Properties>
</file>