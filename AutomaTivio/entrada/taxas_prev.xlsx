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nChaves\Downloads\"/>
    </mc:Choice>
  </mc:AlternateContent>
  <xr:revisionPtr revIDLastSave="0" documentId="13_ncr:1_{EEF488D6-C239-408C-B95C-11EDD2BC6CB9}" xr6:coauthVersionLast="47" xr6:coauthVersionMax="47" xr10:uidLastSave="{00000000-0000-0000-0000-000000000000}"/>
  <bookViews>
    <workbookView xWindow="-108" yWindow="-108" windowWidth="23256" windowHeight="13896" xr2:uid="{C52DF09E-07D4-4346-A21F-DEE68F960356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1" l="1"/>
  <c r="J48" i="1"/>
  <c r="J39" i="1"/>
  <c r="J41" i="1" s="1"/>
  <c r="J32" i="1"/>
  <c r="J34" i="1" s="1"/>
  <c r="J26" i="1"/>
  <c r="J25" i="1"/>
  <c r="J24" i="1"/>
  <c r="J18" i="1"/>
  <c r="J19" i="1"/>
  <c r="J13" i="1"/>
  <c r="J12" i="1"/>
  <c r="J7" i="1"/>
  <c r="J6" i="1"/>
  <c r="J5" i="1"/>
  <c r="J8" i="1" s="1"/>
  <c r="J49" i="1" l="1"/>
  <c r="J14" i="1"/>
  <c r="J20" i="1"/>
  <c r="J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tc={78638FA1-BCD8-470A-A02A-E26D2B98D7F0}</author>
    <author>tc={FF71B505-8761-49DD-82F0-DC9B70452382}</author>
  </authors>
  <commentList>
    <comment ref="J40" authorId="0" shapeId="0" xr:uid="{78638FA1-BCD8-470A-A02A-E26D2B98D7F0}">
      <text>
        <t>[Threaded comment]
Your version of Excel allows you to read this threaded comment; however, any edits to it will get removed if the file is opened in a newer version of Excel. Learn more: https://go.microsoft.com/fwlink/?linkid=870924
Comment:
    Podendo chegar a 0,10% (Taxa Máxima Global).
Reply:
    Mínimo mensal de R$ 1.279,54</t>
      </text>
    </comment>
    <comment ref="F47" authorId="1" shapeId="0" xr:uid="{FF71B505-8761-49DD-82F0-DC9B70452382}">
      <text>
        <t>[Threaded comment]
Your version of Excel allows you to read this threaded comment; however, any edits to it will get removed if the file is opened in a newer version of Excel. Learn more: https://go.microsoft.com/fwlink/?linkid=870924
Comment:
    Mínimo Mensal de R$ 1.279,54</t>
      </text>
    </comment>
  </commentList>
</comments>
</file>

<file path=xl/sharedStrings.xml><?xml version="1.0" encoding="utf-8"?>
<sst xmlns="http://schemas.openxmlformats.org/spreadsheetml/2006/main" count="180" uniqueCount="63">
  <si>
    <t>Taxas a.a.</t>
  </si>
  <si>
    <t>Gestor</t>
  </si>
  <si>
    <t>Fundo</t>
  </si>
  <si>
    <t>Tipo</t>
  </si>
  <si>
    <t>CNPJ</t>
  </si>
  <si>
    <t>Administração</t>
  </si>
  <si>
    <t>Gestão</t>
  </si>
  <si>
    <t>Distribuição</t>
  </si>
  <si>
    <t>Estruturação</t>
  </si>
  <si>
    <t>Performance</t>
  </si>
  <si>
    <t>BRAM</t>
  </si>
  <si>
    <t>BRADESCO TIVIO HGD 30 PGBL/VGBL FIF - CIC RF CP - RL</t>
  </si>
  <si>
    <t>FIE I</t>
  </si>
  <si>
    <t>59.888.171/0001-41</t>
  </si>
  <si>
    <t>Não há</t>
  </si>
  <si>
    <t>BRADESCO TIVIO HGD 30 FIE II FIF - CIC RF CP RL</t>
  </si>
  <si>
    <t>FIE II</t>
  </si>
  <si>
    <t>60.172.387/0001-95</t>
  </si>
  <si>
    <t>4%/100% CDI</t>
  </si>
  <si>
    <t>TIVIO</t>
  </si>
  <si>
    <t>TIVIO HGD30 FIF CI RF CP FIFE - RL</t>
  </si>
  <si>
    <t>FIFE</t>
  </si>
  <si>
    <t>59.889.169/0001-97</t>
  </si>
  <si>
    <t>16%/100% CDI</t>
  </si>
  <si>
    <t>Taxa final</t>
  </si>
  <si>
    <t>BRADESCO TIVIO HYD60 PGBL/VGBL FIF - CIC MM - CP - RL</t>
  </si>
  <si>
    <t>63.949.230/0001-11</t>
  </si>
  <si>
    <t>TIVIO HYD60 FIF - CI MM CP - RL</t>
  </si>
  <si>
    <t>64.111.034/0001-36</t>
  </si>
  <si>
    <t>20%/100% CDI</t>
  </si>
  <si>
    <t>BRADESCO TIVIO IMOBILIÁRIO PGBL/VGBL FIF - CI MM CP - RL</t>
  </si>
  <si>
    <t>62.247.849/0001-11</t>
  </si>
  <si>
    <t>TIVIO IMOB PREVIDÊNCIA FIFE FIF - CI MM CP - RL</t>
  </si>
  <si>
    <t>62.082.548/0001-85</t>
  </si>
  <si>
    <t>ZENIT:</t>
  </si>
  <si>
    <t>15%/100% CDI</t>
  </si>
  <si>
    <t>Custódia</t>
  </si>
  <si>
    <t>BRADESCO TIVIO ZENIT PGBL/VGBL FIF CIC RF - RL</t>
  </si>
  <si>
    <t>BRADESCO TIVIO ZENIT FIE II FIF - CIC RF RL</t>
  </si>
  <si>
    <t>TIVIO ZENIT PREVIDÊNCIA FIFE FIF CI RF - RL</t>
  </si>
  <si>
    <t>Em constituição</t>
  </si>
  <si>
    <t>LOW VOL:</t>
  </si>
  <si>
    <t>TIVIO PREVIDÊNCIA LOW VOL ITAÚ I FIF CIC MULT RL</t>
  </si>
  <si>
    <t>TIVIO PREVIDÊNCIA LOW VOL MASTER FIFE FIF MULT RL</t>
  </si>
  <si>
    <t>45.512.215/0001-20</t>
  </si>
  <si>
    <t>45.512.190/0001-64</t>
  </si>
  <si>
    <t>42.449.373/0001-94</t>
  </si>
  <si>
    <t>TIVIO MASTER FIFE FIF RF PREVIDENCIÁRIO CP RL</t>
  </si>
  <si>
    <t>42.535.150/0001-40</t>
  </si>
  <si>
    <t>TIVIO PREVIDENCIA TOP CREDIT ITAÚ I FIF CIC RF CP RL</t>
  </si>
  <si>
    <t>ALT LIGHT:</t>
  </si>
  <si>
    <t>62.333.997/0001-59</t>
  </si>
  <si>
    <t>TIVIO ALT LIGHT XP SEG MASTER PREV FI MULT CP RL</t>
  </si>
  <si>
    <t>53.991.177/0001-63</t>
  </si>
  <si>
    <t>TIVIO ALT LIGHT XP SEG PREV FIC MULT CP RL</t>
  </si>
  <si>
    <t>15%/100% CDI +0,65%</t>
  </si>
  <si>
    <t>Taxa Global Máxima</t>
  </si>
  <si>
    <t>Taxa Final</t>
  </si>
  <si>
    <t>HGD30:</t>
  </si>
  <si>
    <t>HYD60:</t>
  </si>
  <si>
    <t>PREV IMOB</t>
  </si>
  <si>
    <t>TOP CREDIT: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</si>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</sst>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0.000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Versos"/>
      <family val="2"/>
    </font>
    <font>
      <sz val="10"/>
      <color theme="1"/>
      <name val="Versos"/>
      <family val="2"/>
    </font>
    <font>
      <b/>
      <sz val="10"/>
      <color theme="0"/>
      <name val="Versos"/>
      <family val="2"/>
    </font>
  </fonts>
  <fills count="7">
    <fill>
      <patternFill patternType="none"/>
    </fill>
    <fill>
      <patternFill patternType="gray125"/>
    </fill>
    <fill>
      <patternFill patternType="solid">
        <fgColor rgb="FFC1F4D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 applyAlignment="1">
      <alignment horizontal="left" vertical="center"/>
    </xf>
    <xf numFmtId="10" fontId="2" fillId="0" borderId="0" xfId="0" applyNumberFormat="1" applyFont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2" fillId="0" borderId="2" xfId="1" applyNumberFormat="1" applyFont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164" fontId="2" fillId="0" borderId="3" xfId="1" applyNumberFormat="1" applyFont="1" applyBorder="1" applyAlignment="1">
      <alignment horizontal="left" vertical="center"/>
    </xf>
    <xf numFmtId="164" fontId="3" fillId="0" borderId="3" xfId="0" applyNumberFormat="1" applyFont="1" applyBorder="1" applyAlignment="1">
      <alignment horizontal="left" vertical="center"/>
    </xf>
    <xf numFmtId="10" fontId="2" fillId="6" borderId="0" xfId="0" applyNumberFormat="1" applyFont="1" applyFill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1" applyNumberFormat="1" applyFont="1" applyBorder="1" applyAlignment="1">
      <alignment horizontal="left" vertical="center"/>
    </xf>
    <xf numFmtId="164" fontId="3" fillId="5" borderId="2" xfId="1" applyNumberFormat="1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164" fontId="3" fillId="0" borderId="3" xfId="1" applyNumberFormat="1" applyFont="1" applyBorder="1" applyAlignment="1">
      <alignment horizontal="left" vertical="center"/>
    </xf>
    <xf numFmtId="164" fontId="3" fillId="5" borderId="3" xfId="1" applyNumberFormat="1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8" fontId="3" fillId="0" borderId="3" xfId="0" applyNumberFormat="1" applyFont="1" applyBorder="1" applyAlignment="1">
      <alignment horizontal="left" vertical="center"/>
    </xf>
    <xf numFmtId="10" fontId="3" fillId="0" borderId="3" xfId="0" applyNumberFormat="1" applyFont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atiana Fragoso Caetano" id="{EA7BD1DB-49A7-41A5-A51B-69E5A5820315}" userId="S::tatiana.caetano@tivio.com::0db0bed7-2f30-41cd-8adc-17d362707b9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40" dT="2026-09-04T14:17:00.56" personId="{EA7BD1DB-49A7-41A5-A51B-69E5A5820315}" id="{78638FA1-BCD8-470A-A02A-E26D2B98D7F0}">
    <text>Podendo chegar a 0,10% (Taxa Máxima Global).</text>
  </threadedComment>
  <threadedComment ref="J40" dT="2026-09-04T19:05:59.89" personId="{EA7BD1DB-49A7-41A5-A51B-69E5A5820315}" id="{69A8D999-BED1-4CA7-9DB1-2FFD7A960218}" parentId="{78638FA1-BCD8-470A-A02A-E26D2B98D7F0}">
    <text>Mínimo mensal de R$ 1.279,54</text>
  </threadedComment>
  <threadedComment ref="F47" dT="2026-09-04T19:07:02.23" personId="{EA7BD1DB-49A7-41A5-A51B-69E5A5820315}" id="{FF71B505-8761-49DD-82F0-DC9B70452382}">
    <text>Mínimo Mensal de R$ 1.279,54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B9FEE-AF9C-4D62-9FC3-21C5F62FF6C3}">
  <dimension ref="B2:L49"/>
  <sheetViews>
    <sheetView showGridLines="0" tabSelected="1" topLeftCell="A7" zoomScale="90" zoomScaleNormal="90" workbookViewId="0">
      <selection activeCell="B36" sqref="B36"/>
    </sheetView>
  </sheetViews>
  <sheetFormatPr defaultRowHeight="13.8" x14ac:dyDescent="0.3"/>
  <cols>
    <col min="1" max="1" width="4.5546875" style="11" customWidth="1"/>
    <col min="2" max="2" width="9.21875" style="11" bestFit="1" customWidth="1"/>
    <col min="3" max="3" width="56.77734375" style="1" bestFit="1" customWidth="1"/>
    <col min="4" max="4" width="6.21875" style="1" customWidth="1"/>
    <col min="5" max="5" width="20.6640625" style="1" bestFit="1" customWidth="1"/>
    <col min="6" max="6" width="14.77734375" style="1" bestFit="1" customWidth="1"/>
    <col min="7" max="7" width="13.77734375" style="1" customWidth="1"/>
    <col min="8" max="8" width="11.77734375" style="1" bestFit="1" customWidth="1"/>
    <col min="9" max="9" width="12.88671875" style="1" bestFit="1" customWidth="1"/>
    <col min="10" max="10" width="19.88671875" style="1" bestFit="1" customWidth="1"/>
    <col min="11" max="11" width="21.109375" style="1" bestFit="1" customWidth="1"/>
    <col min="12" max="12" width="13.77734375" style="1" bestFit="1" customWidth="1"/>
    <col min="13" max="16384" width="8.88671875" style="11"/>
  </cols>
  <sheetData>
    <row r="2" spans="2:12" x14ac:dyDescent="0.3">
      <c r="B2" s="10" t="s">
        <v>58</v>
      </c>
    </row>
    <row r="3" spans="2:12" x14ac:dyDescent="0.3">
      <c r="C3" s="12"/>
      <c r="D3" s="12"/>
      <c r="F3" s="13" t="s">
        <v>0</v>
      </c>
      <c r="G3" s="14"/>
      <c r="H3" s="14"/>
      <c r="I3" s="14"/>
      <c r="J3" s="14"/>
      <c r="K3" s="14"/>
      <c r="L3" s="14"/>
    </row>
    <row r="4" spans="2:12" x14ac:dyDescent="0.3">
      <c r="B4" s="15" t="s">
        <v>1</v>
      </c>
      <c r="C4" s="16" t="s">
        <v>2</v>
      </c>
      <c r="D4" s="16" t="s">
        <v>3</v>
      </c>
      <c r="E4" s="16" t="s">
        <v>4</v>
      </c>
      <c r="F4" s="17" t="s">
        <v>5</v>
      </c>
      <c r="G4" s="17" t="s">
        <v>6</v>
      </c>
      <c r="H4" s="17" t="s">
        <v>7</v>
      </c>
      <c r="I4" s="17" t="s">
        <v>8</v>
      </c>
      <c r="J4" s="3" t="s">
        <v>56</v>
      </c>
      <c r="K4" s="17" t="s">
        <v>9</v>
      </c>
      <c r="L4" s="17" t="s">
        <v>36</v>
      </c>
    </row>
    <row r="5" spans="2:12" x14ac:dyDescent="0.3">
      <c r="B5" s="18" t="s">
        <v>10</v>
      </c>
      <c r="C5" s="19" t="s">
        <v>11</v>
      </c>
      <c r="D5" s="19" t="s">
        <v>12</v>
      </c>
      <c r="E5" s="19" t="s">
        <v>13</v>
      </c>
      <c r="F5" s="20">
        <v>1.6000000000000001E-4</v>
      </c>
      <c r="G5" s="21">
        <v>1.4400000000000001E-3</v>
      </c>
      <c r="H5" s="20">
        <v>0</v>
      </c>
      <c r="I5" s="20">
        <v>2.3999999999999998E-3</v>
      </c>
      <c r="J5" s="4">
        <f>SUM(F5:I5)</f>
        <v>4.0000000000000001E-3</v>
      </c>
      <c r="K5" s="19" t="s">
        <v>14</v>
      </c>
      <c r="L5" s="20">
        <v>2.9999999999999997E-4</v>
      </c>
    </row>
    <row r="6" spans="2:12" x14ac:dyDescent="0.3">
      <c r="B6" s="18" t="s">
        <v>10</v>
      </c>
      <c r="C6" s="19" t="s">
        <v>15</v>
      </c>
      <c r="D6" s="19" t="s">
        <v>16</v>
      </c>
      <c r="E6" s="19" t="s">
        <v>17</v>
      </c>
      <c r="F6" s="20">
        <v>4.0000000000000003E-5</v>
      </c>
      <c r="G6" s="21">
        <v>3.6000000000000002E-4</v>
      </c>
      <c r="H6" s="20">
        <v>0</v>
      </c>
      <c r="I6" s="20">
        <v>5.9999999999999995E-4</v>
      </c>
      <c r="J6" s="4">
        <f>SUM(F6:I6)</f>
        <v>1E-3</v>
      </c>
      <c r="K6" s="19" t="s">
        <v>18</v>
      </c>
      <c r="L6" s="20">
        <v>1E-4</v>
      </c>
    </row>
    <row r="7" spans="2:12" x14ac:dyDescent="0.3">
      <c r="B7" s="18" t="s">
        <v>19</v>
      </c>
      <c r="C7" s="19" t="s">
        <v>20</v>
      </c>
      <c r="D7" s="19" t="s">
        <v>21</v>
      </c>
      <c r="E7" s="19" t="s">
        <v>22</v>
      </c>
      <c r="F7" s="20">
        <v>2.9999999999999997E-4</v>
      </c>
      <c r="G7" s="20">
        <v>2.7000000000000001E-3</v>
      </c>
      <c r="H7" s="20">
        <v>0</v>
      </c>
      <c r="I7" s="20">
        <v>0</v>
      </c>
      <c r="J7" s="4">
        <f>SUM(F7:I7)</f>
        <v>3.0000000000000001E-3</v>
      </c>
      <c r="K7" s="19" t="s">
        <v>23</v>
      </c>
      <c r="L7" s="20">
        <v>2.9999999999999997E-4</v>
      </c>
    </row>
    <row r="8" spans="2:12" x14ac:dyDescent="0.3">
      <c r="I8" s="22" t="s">
        <v>57</v>
      </c>
      <c r="J8" s="8">
        <f>SUM(J5:J7)</f>
        <v>8.0000000000000002E-3</v>
      </c>
    </row>
    <row r="9" spans="2:12" x14ac:dyDescent="0.3">
      <c r="B9" s="10" t="s">
        <v>59</v>
      </c>
    </row>
    <row r="10" spans="2:12" x14ac:dyDescent="0.3">
      <c r="D10" s="12"/>
      <c r="F10" s="23" t="s">
        <v>0</v>
      </c>
      <c r="G10" s="24"/>
      <c r="H10" s="24"/>
      <c r="I10" s="24"/>
      <c r="J10" s="24"/>
      <c r="K10" s="24"/>
      <c r="L10" s="24"/>
    </row>
    <row r="11" spans="2:12" x14ac:dyDescent="0.3">
      <c r="B11" s="15" t="s">
        <v>1</v>
      </c>
      <c r="C11" s="16" t="s">
        <v>2</v>
      </c>
      <c r="D11" s="16" t="s">
        <v>3</v>
      </c>
      <c r="E11" s="16" t="s">
        <v>4</v>
      </c>
      <c r="F11" s="17" t="s">
        <v>5</v>
      </c>
      <c r="G11" s="17" t="s">
        <v>6</v>
      </c>
      <c r="H11" s="17" t="s">
        <v>7</v>
      </c>
      <c r="I11" s="17" t="s">
        <v>8</v>
      </c>
      <c r="J11" s="3" t="s">
        <v>56</v>
      </c>
      <c r="K11" s="17" t="s">
        <v>9</v>
      </c>
      <c r="L11" s="17" t="s">
        <v>36</v>
      </c>
    </row>
    <row r="12" spans="2:12" x14ac:dyDescent="0.3">
      <c r="B12" s="18" t="s">
        <v>10</v>
      </c>
      <c r="C12" s="19" t="s">
        <v>25</v>
      </c>
      <c r="D12" s="19" t="s">
        <v>12</v>
      </c>
      <c r="E12" s="19" t="s">
        <v>26</v>
      </c>
      <c r="F12" s="20">
        <v>2.0000000000000001E-4</v>
      </c>
      <c r="G12" s="21">
        <v>2.3E-3</v>
      </c>
      <c r="H12" s="20">
        <v>0</v>
      </c>
      <c r="I12" s="20">
        <v>2.5000000000000001E-3</v>
      </c>
      <c r="J12" s="4">
        <f>SUM(F12:I12)</f>
        <v>5.0000000000000001E-3</v>
      </c>
      <c r="K12" s="19" t="s">
        <v>14</v>
      </c>
      <c r="L12" s="20">
        <v>2.9999999999999997E-4</v>
      </c>
    </row>
    <row r="13" spans="2:12" x14ac:dyDescent="0.3">
      <c r="B13" s="18" t="s">
        <v>19</v>
      </c>
      <c r="C13" s="19" t="s">
        <v>27</v>
      </c>
      <c r="D13" s="19" t="s">
        <v>21</v>
      </c>
      <c r="E13" s="19" t="s">
        <v>28</v>
      </c>
      <c r="F13" s="20">
        <v>2.9999999999999997E-4</v>
      </c>
      <c r="G13" s="20">
        <v>4.7000000000000002E-3</v>
      </c>
      <c r="H13" s="20">
        <v>0</v>
      </c>
      <c r="I13" s="20">
        <v>0</v>
      </c>
      <c r="J13" s="4">
        <f>SUM(F13:I13)</f>
        <v>5.0000000000000001E-3</v>
      </c>
      <c r="K13" s="19" t="s">
        <v>29</v>
      </c>
      <c r="L13" s="20">
        <v>2.9999999999999997E-4</v>
      </c>
    </row>
    <row r="14" spans="2:12" x14ac:dyDescent="0.3">
      <c r="I14" s="22" t="s">
        <v>57</v>
      </c>
      <c r="J14" s="8">
        <f>SUM(J12:J13)</f>
        <v>0.01</v>
      </c>
    </row>
    <row r="15" spans="2:12" x14ac:dyDescent="0.3">
      <c r="B15" s="10" t="s">
        <v>60</v>
      </c>
    </row>
    <row r="16" spans="2:12" x14ac:dyDescent="0.3">
      <c r="D16" s="12"/>
      <c r="F16" s="13" t="s">
        <v>0</v>
      </c>
      <c r="G16" s="14"/>
      <c r="H16" s="14"/>
      <c r="I16" s="14"/>
      <c r="J16" s="14"/>
      <c r="K16" s="14"/>
      <c r="L16" s="14"/>
    </row>
    <row r="17" spans="2:12" x14ac:dyDescent="0.3">
      <c r="B17" s="25" t="s">
        <v>1</v>
      </c>
      <c r="C17" s="26" t="s">
        <v>2</v>
      </c>
      <c r="D17" s="26" t="s">
        <v>3</v>
      </c>
      <c r="E17" s="26" t="s">
        <v>4</v>
      </c>
      <c r="F17" s="27" t="s">
        <v>5</v>
      </c>
      <c r="G17" s="27" t="s">
        <v>6</v>
      </c>
      <c r="H17" s="27" t="s">
        <v>7</v>
      </c>
      <c r="I17" s="27" t="s">
        <v>8</v>
      </c>
      <c r="J17" s="5" t="s">
        <v>56</v>
      </c>
      <c r="K17" s="27" t="s">
        <v>9</v>
      </c>
      <c r="L17" s="27" t="s">
        <v>36</v>
      </c>
    </row>
    <row r="18" spans="2:12" x14ac:dyDescent="0.3">
      <c r="B18" s="28" t="s">
        <v>19</v>
      </c>
      <c r="C18" s="29" t="s">
        <v>30</v>
      </c>
      <c r="D18" s="29" t="s">
        <v>12</v>
      </c>
      <c r="E18" s="29" t="s">
        <v>31</v>
      </c>
      <c r="F18" s="30">
        <v>1E-4</v>
      </c>
      <c r="G18" s="31">
        <v>2.0999999999999999E-3</v>
      </c>
      <c r="H18" s="30">
        <v>0</v>
      </c>
      <c r="I18" s="30">
        <v>3.5000000000000001E-3</v>
      </c>
      <c r="J18" s="6">
        <f>SUM(F18:I18)</f>
        <v>5.7000000000000002E-3</v>
      </c>
      <c r="K18" s="29" t="s">
        <v>14</v>
      </c>
      <c r="L18" s="30" t="s">
        <v>14</v>
      </c>
    </row>
    <row r="19" spans="2:12" x14ac:dyDescent="0.3">
      <c r="B19" s="28" t="s">
        <v>19</v>
      </c>
      <c r="C19" s="29" t="s">
        <v>32</v>
      </c>
      <c r="D19" s="29" t="s">
        <v>21</v>
      </c>
      <c r="E19" s="29" t="s">
        <v>33</v>
      </c>
      <c r="F19" s="30">
        <v>2.9999999999999997E-4</v>
      </c>
      <c r="G19" s="30">
        <v>2.5000000000000001E-3</v>
      </c>
      <c r="H19" s="30">
        <v>0</v>
      </c>
      <c r="I19" s="30">
        <v>2.5000000000000001E-3</v>
      </c>
      <c r="J19" s="6">
        <f>SUM(F19:I19)</f>
        <v>5.3E-3</v>
      </c>
      <c r="K19" s="29" t="s">
        <v>29</v>
      </c>
      <c r="L19" s="30">
        <v>1E-4</v>
      </c>
    </row>
    <row r="20" spans="2:12" x14ac:dyDescent="0.3">
      <c r="I20" s="22" t="s">
        <v>57</v>
      </c>
      <c r="J20" s="8">
        <f>SUM(J18:J19)</f>
        <v>1.0999999999999999E-2</v>
      </c>
    </row>
    <row r="21" spans="2:12" x14ac:dyDescent="0.3">
      <c r="B21" s="10" t="s">
        <v>34</v>
      </c>
    </row>
    <row r="22" spans="2:12" x14ac:dyDescent="0.3">
      <c r="F22" s="13" t="s">
        <v>0</v>
      </c>
      <c r="G22" s="32"/>
      <c r="H22" s="32"/>
      <c r="I22" s="32"/>
      <c r="J22" s="32"/>
      <c r="K22" s="32"/>
      <c r="L22" s="32"/>
    </row>
    <row r="23" spans="2:12" x14ac:dyDescent="0.3">
      <c r="B23" s="25" t="s">
        <v>1</v>
      </c>
      <c r="C23" s="26" t="s">
        <v>2</v>
      </c>
      <c r="D23" s="26" t="s">
        <v>3</v>
      </c>
      <c r="E23" s="26" t="s">
        <v>4</v>
      </c>
      <c r="F23" s="27" t="s">
        <v>5</v>
      </c>
      <c r="G23" s="27" t="s">
        <v>6</v>
      </c>
      <c r="H23" s="27" t="s">
        <v>7</v>
      </c>
      <c r="I23" s="27" t="s">
        <v>8</v>
      </c>
      <c r="J23" s="5" t="s">
        <v>56</v>
      </c>
      <c r="K23" s="27" t="s">
        <v>9</v>
      </c>
      <c r="L23" s="27" t="s">
        <v>36</v>
      </c>
    </row>
    <row r="24" spans="2:12" x14ac:dyDescent="0.3">
      <c r="B24" s="28" t="s">
        <v>19</v>
      </c>
      <c r="C24" s="29" t="s">
        <v>37</v>
      </c>
      <c r="D24" s="29" t="s">
        <v>12</v>
      </c>
      <c r="E24" s="29" t="s">
        <v>40</v>
      </c>
      <c r="F24" s="30">
        <v>1E-4</v>
      </c>
      <c r="G24" s="31">
        <v>1E-3</v>
      </c>
      <c r="H24" s="30">
        <v>0</v>
      </c>
      <c r="I24" s="30">
        <v>2.8E-3</v>
      </c>
      <c r="J24" s="6">
        <f>SUM(F24:I24)</f>
        <v>3.8999999999999998E-3</v>
      </c>
      <c r="K24" s="29" t="s">
        <v>35</v>
      </c>
      <c r="L24" s="30">
        <v>1E-4</v>
      </c>
    </row>
    <row r="25" spans="2:12" x14ac:dyDescent="0.3">
      <c r="B25" s="28" t="s">
        <v>19</v>
      </c>
      <c r="C25" s="29" t="s">
        <v>38</v>
      </c>
      <c r="D25" s="29" t="s">
        <v>16</v>
      </c>
      <c r="E25" s="29" t="s">
        <v>40</v>
      </c>
      <c r="F25" s="30">
        <v>1E-4</v>
      </c>
      <c r="G25" s="30">
        <v>1E-3</v>
      </c>
      <c r="H25" s="30">
        <v>0</v>
      </c>
      <c r="I25" s="30">
        <v>2.8E-3</v>
      </c>
      <c r="J25" s="6">
        <f>SUM(F25:I25)</f>
        <v>3.8999999999999998E-3</v>
      </c>
      <c r="K25" s="29" t="s">
        <v>35</v>
      </c>
      <c r="L25" s="30">
        <v>1E-4</v>
      </c>
    </row>
    <row r="26" spans="2:12" x14ac:dyDescent="0.3">
      <c r="B26" s="28" t="s">
        <v>19</v>
      </c>
      <c r="C26" s="29" t="s">
        <v>39</v>
      </c>
      <c r="D26" s="29" t="s">
        <v>21</v>
      </c>
      <c r="E26" s="29" t="s">
        <v>40</v>
      </c>
      <c r="F26" s="30">
        <v>2.0000000000000001E-4</v>
      </c>
      <c r="G26" s="31">
        <v>1.4E-3</v>
      </c>
      <c r="H26" s="30">
        <v>0</v>
      </c>
      <c r="I26" s="30">
        <v>1E-3</v>
      </c>
      <c r="J26" s="6">
        <f>SUM(F26:I26)</f>
        <v>2.5999999999999999E-3</v>
      </c>
      <c r="K26" s="29" t="s">
        <v>14</v>
      </c>
      <c r="L26" s="30">
        <v>1E-4</v>
      </c>
    </row>
    <row r="27" spans="2:12" x14ac:dyDescent="0.3">
      <c r="I27" s="22" t="s">
        <v>57</v>
      </c>
      <c r="J27" s="8">
        <f>SUM(J24:J26)</f>
        <v>1.04E-2</v>
      </c>
    </row>
    <row r="28" spans="2:12" x14ac:dyDescent="0.3">
      <c r="B28" s="10" t="s">
        <v>41</v>
      </c>
    </row>
    <row r="30" spans="2:12" x14ac:dyDescent="0.3">
      <c r="F30" s="13" t="s">
        <v>0</v>
      </c>
      <c r="G30" s="32"/>
      <c r="H30" s="32"/>
      <c r="I30" s="32"/>
      <c r="J30" s="32"/>
      <c r="K30" s="32"/>
      <c r="L30" s="32"/>
    </row>
    <row r="31" spans="2:12" x14ac:dyDescent="0.3">
      <c r="B31" s="25" t="s">
        <v>1</v>
      </c>
      <c r="C31" s="26" t="s">
        <v>2</v>
      </c>
      <c r="D31" s="26" t="s">
        <v>3</v>
      </c>
      <c r="E31" s="26" t="s">
        <v>4</v>
      </c>
      <c r="F31" s="27" t="s">
        <v>5</v>
      </c>
      <c r="G31" s="27" t="s">
        <v>6</v>
      </c>
      <c r="H31" s="27" t="s">
        <v>7</v>
      </c>
      <c r="I31" s="27" t="s">
        <v>8</v>
      </c>
      <c r="J31" s="5" t="s">
        <v>56</v>
      </c>
      <c r="K31" s="27" t="s">
        <v>9</v>
      </c>
      <c r="L31" s="27" t="s">
        <v>36</v>
      </c>
    </row>
    <row r="32" spans="2:12" x14ac:dyDescent="0.3">
      <c r="B32" s="28" t="s">
        <v>19</v>
      </c>
      <c r="C32" s="29" t="s">
        <v>42</v>
      </c>
      <c r="D32" s="29" t="s">
        <v>12</v>
      </c>
      <c r="E32" s="29" t="s">
        <v>44</v>
      </c>
      <c r="F32" s="30">
        <v>4.4999999999999999E-4</v>
      </c>
      <c r="G32" s="31">
        <v>2.359E-3</v>
      </c>
      <c r="H32" s="30">
        <v>0</v>
      </c>
      <c r="I32" s="30">
        <v>5.1910000000000003E-3</v>
      </c>
      <c r="J32" s="6">
        <f>SUM(F32:I32)</f>
        <v>8.0000000000000002E-3</v>
      </c>
      <c r="K32" s="29" t="s">
        <v>14</v>
      </c>
      <c r="L32" s="30">
        <v>0</v>
      </c>
    </row>
    <row r="33" spans="2:12" x14ac:dyDescent="0.3">
      <c r="B33" s="28" t="s">
        <v>19</v>
      </c>
      <c r="C33" s="29" t="s">
        <v>43</v>
      </c>
      <c r="D33" s="29" t="s">
        <v>21</v>
      </c>
      <c r="E33" s="29" t="s">
        <v>45</v>
      </c>
      <c r="F33" s="30">
        <v>0</v>
      </c>
      <c r="G33" s="30">
        <v>0</v>
      </c>
      <c r="H33" s="30">
        <v>0</v>
      </c>
      <c r="I33" s="30">
        <v>0</v>
      </c>
      <c r="J33" s="6">
        <v>0</v>
      </c>
      <c r="K33" s="29" t="s">
        <v>14</v>
      </c>
      <c r="L33" s="30">
        <v>2.0000000000000001E-4</v>
      </c>
    </row>
    <row r="34" spans="2:12" x14ac:dyDescent="0.3">
      <c r="I34" s="22" t="s">
        <v>57</v>
      </c>
      <c r="J34" s="8">
        <f>SUM(J32:J33)</f>
        <v>8.0000000000000002E-3</v>
      </c>
    </row>
    <row r="35" spans="2:12" x14ac:dyDescent="0.3">
      <c r="B35" s="10" t="s">
        <v>61</v>
      </c>
    </row>
    <row r="36" spans="2:12" x14ac:dyDescent="0.3">
      <c r="B36" s="11" t="s">
        <v>62</v>
      </c>
    </row>
    <row r="37" spans="2:12" x14ac:dyDescent="0.3">
      <c r="F37" s="13" t="s">
        <v>0</v>
      </c>
      <c r="G37" s="32"/>
      <c r="H37" s="32"/>
      <c r="I37" s="32"/>
      <c r="J37" s="32"/>
      <c r="K37" s="32"/>
      <c r="L37" s="32"/>
    </row>
    <row r="38" spans="2:12" x14ac:dyDescent="0.3">
      <c r="B38" s="25" t="s">
        <v>1</v>
      </c>
      <c r="C38" s="26" t="s">
        <v>2</v>
      </c>
      <c r="D38" s="26" t="s">
        <v>3</v>
      </c>
      <c r="E38" s="26" t="s">
        <v>4</v>
      </c>
      <c r="F38" s="27" t="s">
        <v>5</v>
      </c>
      <c r="G38" s="27" t="s">
        <v>6</v>
      </c>
      <c r="H38" s="27" t="s">
        <v>7</v>
      </c>
      <c r="I38" s="27" t="s">
        <v>8</v>
      </c>
      <c r="J38" s="5" t="s">
        <v>56</v>
      </c>
      <c r="K38" s="27" t="s">
        <v>9</v>
      </c>
      <c r="L38" s="27" t="s">
        <v>36</v>
      </c>
    </row>
    <row r="39" spans="2:12" x14ac:dyDescent="0.3">
      <c r="B39" s="28" t="s">
        <v>19</v>
      </c>
      <c r="C39" s="29" t="s">
        <v>49</v>
      </c>
      <c r="D39" s="29" t="s">
        <v>12</v>
      </c>
      <c r="E39" s="29" t="s">
        <v>48</v>
      </c>
      <c r="F39" s="30">
        <v>4.4999999999999999E-4</v>
      </c>
      <c r="G39" s="31">
        <v>2.313E-3</v>
      </c>
      <c r="H39" s="30">
        <v>0</v>
      </c>
      <c r="I39" s="30">
        <v>5.2370000000000003E-3</v>
      </c>
      <c r="J39" s="6">
        <f>SUM(F39:I39)</f>
        <v>8.0000000000000002E-3</v>
      </c>
      <c r="K39" s="29" t="s">
        <v>14</v>
      </c>
      <c r="L39" s="30">
        <v>0</v>
      </c>
    </row>
    <row r="40" spans="2:12" x14ac:dyDescent="0.3">
      <c r="B40" s="28" t="s">
        <v>19</v>
      </c>
      <c r="C40" s="29" t="s">
        <v>47</v>
      </c>
      <c r="D40" s="29" t="s">
        <v>21</v>
      </c>
      <c r="E40" s="29" t="s">
        <v>46</v>
      </c>
      <c r="F40" s="30">
        <v>0</v>
      </c>
      <c r="G40" s="30">
        <v>0</v>
      </c>
      <c r="H40" s="30">
        <v>0</v>
      </c>
      <c r="I40" s="30">
        <v>0</v>
      </c>
      <c r="J40" s="6">
        <v>0</v>
      </c>
      <c r="K40" s="29" t="s">
        <v>14</v>
      </c>
      <c r="L40" s="30">
        <v>2.0000000000000001E-4</v>
      </c>
    </row>
    <row r="41" spans="2:12" x14ac:dyDescent="0.3">
      <c r="I41" s="22" t="s">
        <v>24</v>
      </c>
      <c r="J41" s="8">
        <f>SUM(J39:J40)</f>
        <v>8.0000000000000002E-3</v>
      </c>
    </row>
    <row r="43" spans="2:12" x14ac:dyDescent="0.3">
      <c r="B43" s="10" t="s">
        <v>50</v>
      </c>
    </row>
    <row r="44" spans="2:12" x14ac:dyDescent="0.3">
      <c r="B44" s="10"/>
    </row>
    <row r="45" spans="2:12" x14ac:dyDescent="0.3">
      <c r="F45" s="14" t="s">
        <v>0</v>
      </c>
      <c r="G45" s="14"/>
      <c r="H45" s="14"/>
      <c r="I45" s="14"/>
      <c r="J45" s="14"/>
      <c r="K45" s="14"/>
      <c r="L45" s="14"/>
    </row>
    <row r="46" spans="2:12" x14ac:dyDescent="0.3">
      <c r="B46" s="25" t="s">
        <v>1</v>
      </c>
      <c r="C46" s="26" t="s">
        <v>2</v>
      </c>
      <c r="D46" s="26" t="s">
        <v>3</v>
      </c>
      <c r="E46" s="26" t="s">
        <v>4</v>
      </c>
      <c r="F46" s="33" t="s">
        <v>5</v>
      </c>
      <c r="G46" s="33" t="s">
        <v>6</v>
      </c>
      <c r="H46" s="33" t="s">
        <v>7</v>
      </c>
      <c r="I46" s="33" t="s">
        <v>8</v>
      </c>
      <c r="J46" s="9" t="s">
        <v>56</v>
      </c>
      <c r="K46" s="33" t="s">
        <v>9</v>
      </c>
      <c r="L46" s="33" t="s">
        <v>36</v>
      </c>
    </row>
    <row r="47" spans="2:12" x14ac:dyDescent="0.3">
      <c r="B47" s="28" t="s">
        <v>19</v>
      </c>
      <c r="C47" s="29" t="s">
        <v>54</v>
      </c>
      <c r="D47" s="29" t="s">
        <v>12</v>
      </c>
      <c r="E47" s="29" t="s">
        <v>53</v>
      </c>
      <c r="F47" s="30">
        <v>0</v>
      </c>
      <c r="G47" s="30">
        <v>0</v>
      </c>
      <c r="H47" s="30">
        <v>0</v>
      </c>
      <c r="I47" s="30">
        <v>6.4999999999999997E-3</v>
      </c>
      <c r="J47" s="7">
        <f>SUM(F47:I47)</f>
        <v>6.4999999999999997E-3</v>
      </c>
      <c r="K47" s="29" t="s">
        <v>14</v>
      </c>
      <c r="L47" s="34">
        <v>1720.46</v>
      </c>
    </row>
    <row r="48" spans="2:12" x14ac:dyDescent="0.3">
      <c r="B48" s="28" t="s">
        <v>19</v>
      </c>
      <c r="C48" s="29" t="s">
        <v>52</v>
      </c>
      <c r="D48" s="29" t="s">
        <v>21</v>
      </c>
      <c r="E48" s="29" t="s">
        <v>51</v>
      </c>
      <c r="F48" s="30">
        <v>7.6999999999999996E-4</v>
      </c>
      <c r="G48" s="30">
        <v>4.0000000000000001E-3</v>
      </c>
      <c r="H48" s="30">
        <v>0</v>
      </c>
      <c r="I48" s="30">
        <v>0</v>
      </c>
      <c r="J48" s="7">
        <f>SUM(F48:I48)</f>
        <v>4.7699999999999999E-3</v>
      </c>
      <c r="K48" s="29" t="s">
        <v>55</v>
      </c>
      <c r="L48" s="35">
        <v>2.3000000000000001E-4</v>
      </c>
    </row>
    <row r="49" spans="9:10" x14ac:dyDescent="0.3">
      <c r="I49" s="1" t="s">
        <v>57</v>
      </c>
      <c r="J49" s="2">
        <f>SUM(J47:J48)</f>
        <v>1.1269999999999999E-2</v>
      </c>
    </row>
  </sheetData>
  <mergeCells count="7">
    <mergeCell ref="F30:L30"/>
    <mergeCell ref="F37:L37"/>
    <mergeCell ref="F45:L45"/>
    <mergeCell ref="F22:L22"/>
    <mergeCell ref="F3:L3"/>
    <mergeCell ref="F10:L10"/>
    <mergeCell ref="F16:L16"/>
  </mergeCells>
  <pageMargins left="0.511811024" right="0.511811024" top="0.78740157499999996" bottom="0.78740157499999996" header="0.31496062000000002" footer="0.31496062000000002"/>
  <legacyDrawing r:id="rId1"/>
</worksheet>
</file>

<file path=docMetadata/LabelInfo.xml><?xml version="1.0" encoding="utf-8"?>
<clbl:labelList xmlns:clbl="http://schemas.microsoft.com/office/2020/mipLabelMetadata">
  <clbl:label id="{1b68a0e7-8c4a-4119-a9fe-c55d0d05c305}" enabled="1" method="Standard" siteId="{28bfc1cb-5aa5-436f-9b59-4bbea6096ae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Suzana Coelho Escarpinete</dc:creator>
  <cp:keywords/>
  <dc:description/>
  <cp:lastModifiedBy>Renan Chaves</cp:lastModifiedBy>
  <cp:revision/>
  <dcterms:created xsi:type="dcterms:W3CDTF">2026-04-14T20:21:06Z</dcterms:created>
  <dcterms:modified xsi:type="dcterms:W3CDTF">2026-10-14T14:49:46Z</dcterms:modified>
  <cp:category/>
  <cp:contentStatus/>
</cp:coreProperties>
</file>